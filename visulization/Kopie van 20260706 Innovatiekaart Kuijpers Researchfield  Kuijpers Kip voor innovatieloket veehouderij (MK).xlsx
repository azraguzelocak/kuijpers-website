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kuijperskip-my.sharepoint.com/personal/info_kuijperskip_com/Documents/Food insights/"/>
    </mc:Choice>
  </mc:AlternateContent>
  <xr:revisionPtr revIDLastSave="83" documentId="8_{A21B7F82-E28E-4EDE-840A-5C8F8AE7D5AA}" xr6:coauthVersionLast="47" xr6:coauthVersionMax="47" xr10:uidLastSave="{3F8DB414-9723-49EA-AC84-BB0F50F4E70A}"/>
  <bookViews>
    <workbookView xWindow="-120" yWindow="-120" windowWidth="29040" windowHeight="15720" xr2:uid="{00000000-000D-0000-FFFF-FFFF00000000}"/>
  </bookViews>
  <sheets>
    <sheet name="Tabel" sheetId="1" r:id="rId1"/>
    <sheet name="FormulierChecklist" sheetId="2" r:id="rId2"/>
    <sheet name="Aanmeldstrategie" sheetId="3" r:id="rId3"/>
    <sheet name="Lijsten" sheetId="4" r:id="rId4"/>
    <sheet name="Kruistabel voor visualisati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3" i="1"/>
</calcChain>
</file>

<file path=xl/sharedStrings.xml><?xml version="1.0" encoding="utf-8"?>
<sst xmlns="http://schemas.openxmlformats.org/spreadsheetml/2006/main" count="878" uniqueCount="360">
  <si>
    <t>Innovaties Kuijpers Researchfield</t>
  </si>
  <si>
    <t>Datum</t>
  </si>
  <si>
    <t>Innovatie</t>
  </si>
  <si>
    <t>Innovatiecategorie</t>
  </si>
  <si>
    <t>Impact</t>
  </si>
  <si>
    <t>Omschrijving</t>
  </si>
  <si>
    <t>CO2 emissie</t>
  </si>
  <si>
    <t>NH3Emissie</t>
  </si>
  <si>
    <t>Gezondheid</t>
  </si>
  <si>
    <t>Welzijn</t>
  </si>
  <si>
    <t>Waterkwaliteit</t>
  </si>
  <si>
    <t>Familiewarmte/warmteterugwinning</t>
  </si>
  <si>
    <t>Emissieverlaging</t>
  </si>
  <si>
    <t>Zonnepanelen op productielocatie</t>
  </si>
  <si>
    <t>Electraopwekking met zonnepanelen, zodat aanvoer electra wordt verlaagd</t>
  </si>
  <si>
    <t>Luchtwasser</t>
  </si>
  <si>
    <t>WaterSafe</t>
  </si>
  <si>
    <t>Waterlozingsstop, nutrientbehoud</t>
  </si>
  <si>
    <t xml:space="preserve">Gebruik luchtwasser om overtollig water te verdampen zoals reinigingswater </t>
  </si>
  <si>
    <t>Bioenergiecentrale, groengas productie</t>
  </si>
  <si>
    <t>Gebruik mest voor vergisting mest en opgewekte methaan na zuiveringsstap invoeden op aardgasnetwerk</t>
  </si>
  <si>
    <t>Bioenergiecentrale, N2-stripper digestaat</t>
  </si>
  <si>
    <t>N2-strippen van vloeibare fractie digestaat in de bioenergiecentrale om ammonium-N te scheiden en concentreren om het zo bruikbaar te maken als grondstof</t>
  </si>
  <si>
    <t>Bioenergiecentrale, Renure productie</t>
  </si>
  <si>
    <t>Bemesting op maat, ondersteuning akkerbouw</t>
  </si>
  <si>
    <t>Productie van meststoffen op maat voor akkerbouw, vollegrondsgroententeelt waarbij transport van water beperkt wordt</t>
  </si>
  <si>
    <t>Bioenergiecentrale, WaterSafe</t>
  </si>
  <si>
    <t>Gebruik luchtwasser om overtollig water te verdampen na renureproductieproces bioenergiecentrale</t>
  </si>
  <si>
    <t>Korte keten, vermeden transport kilometers</t>
  </si>
  <si>
    <t>Productie efficiency</t>
  </si>
  <si>
    <t>Reductie transport broedeieren, eendagskuikens, mest</t>
  </si>
  <si>
    <t>Korte keten bestaat uit ouderdieren, broederij, vleeskuikenshouderij, mestvergisting inclusief renureproductie (alles in eigen beheer) waardoor transportkilometers beperkt worden</t>
  </si>
  <si>
    <t>Korte keten, vermeden kruisbesmettingsrisico</t>
  </si>
  <si>
    <t>Vermijding ketenkruispunten ouderdieren, broederij, vleeskuikens, mest</t>
  </si>
  <si>
    <t>Korte keten bestaat uit ouderdieren, broederij, vleeskuikenshouderij, mestvergisting inclusief renureproductie (alles in eigen beheer) waardoor een liniaire keten ontstaat zonder de aanvoer van dieren of broedeieren van andere bedrijven en bijbehorende ziektes zodat bio-veiligheid gemaximeer</t>
  </si>
  <si>
    <t>Eigen voerprogramma</t>
  </si>
  <si>
    <t>Eigen voerprogramma zorgt voor stabiel gebruik van voergrondstoffen om stabiliteit en betere gezondheid te creeeren in het maagdarmstelsel vleeskuikens/ouderdieren en in het biotoop van de vergister van de bio-energiecentrale</t>
  </si>
  <si>
    <t>Vaccinontwikkeling</t>
  </si>
  <si>
    <t>Gezondheid &amp; welzijn</t>
  </si>
  <si>
    <t>Verhoging weerstand kuikens, leefbaarheid</t>
  </si>
  <si>
    <t>Ontwikkeling vaccins om aantal vaccinaties te beperken en effectiever te maken</t>
  </si>
  <si>
    <t>Vaccinatiemethodeontwikkeling</t>
  </si>
  <si>
    <t>Ontwikkeling vaccinatiemethode in broedeieren om vaccinaties effectiever te maken</t>
  </si>
  <si>
    <t>Veterinaire analyse ontwikkeling</t>
  </si>
  <si>
    <t>Ontwikkeling analysemethode in veterinair lab om titeranalyse te verbeteren en zo beter beeld te krijgen van weerstand kuikens en eerder in te kunnen grijpen bij afwijkingen</t>
  </si>
  <si>
    <t>AI-gestuurde gedragsherkenning vleeskuikens</t>
  </si>
  <si>
    <t>Objectivering gedragscategorien, mogelijk maken interventieonderzoek</t>
  </si>
  <si>
    <t>Ontwikkeling van video-analyse om gedrag vleeskuikens te categoriseren, quantificeren en objectiveren, zodat dit gebruikt kan worden voor interventieonderzoek en resultaten van deze interventies weer te geven</t>
  </si>
  <si>
    <t>Welzijns&amp;gezondheidsdashboard</t>
  </si>
  <si>
    <t>Visualisatie welzijnskenmerken, verhoging besliskwaliteit</t>
  </si>
  <si>
    <t>Ontwikkeling welzijns&amp;gezondheidsdashboard om zowel in-line en na afloop van koppelvleeskuikens sturingsmogelijkheden te krijgen op welzijn</t>
  </si>
  <si>
    <t>Haanmanagement</t>
  </si>
  <si>
    <t>Methodeontwikkeling haanmanagement om aantal aanwezige hanen te beperken en bevruchting en bebroedbaarheid toch te verhogen</t>
  </si>
  <si>
    <t>Brandblustechniek</t>
  </si>
  <si>
    <t>Veiligheid</t>
  </si>
  <si>
    <t>Methodeontwikkeling watersysteem om bij brand of brandgevaar direct te kunnen blussen waarbij de kuikens in leven blijven</t>
  </si>
  <si>
    <t>Voedselveiligheid, 0-antibiotica gebruik</t>
  </si>
  <si>
    <t>Anti-bioticareductie</t>
  </si>
  <si>
    <t>Methodeontwikkeling veterinaire monitoring in korte keten om geen antibiotica te hoeven gebruiken</t>
  </si>
  <si>
    <t>Omgevingsveiligheid, Nh3/fijnstof/geur</t>
  </si>
  <si>
    <t>Omgevingskwaliteit, omgevingsveiligheid</t>
  </si>
  <si>
    <t>Methodeontwikkeling luchtwastechniek om uitstoot NH3, fijnstof en ziektekiemen te minimaliseren</t>
  </si>
  <si>
    <t>Doel: deze versie vertaalt de innovatiebeschrijvingen naar formuliervragen voor aanmelding bij het Nationaal Innovatieloket Veehouderij.</t>
  </si>
  <si>
    <t>Gebruik deze kolommen als invulbasis voor het online formulier. Vul vóór indiening vooral contactpersoon, exacte meetdata, bijlagen en concrete hulpvraag aan.</t>
  </si>
  <si>
    <t>Website</t>
  </si>
  <si>
    <t>https://www.nationaalinnovatieloketveehouderij.nl/</t>
  </si>
  <si>
    <t>1. Past binnen Innovatieloket?</t>
  </si>
  <si>
    <t>2. Diersoort / sector</t>
  </si>
  <si>
    <t>3. Naam innovatie voor formulier</t>
  </si>
  <si>
    <t>4. Korte innovatiebeschrijving</t>
  </si>
  <si>
    <t>5. Welk probleem lost dit op?</t>
  </si>
  <si>
    <t>6. Wat is vernieuwend t.o.v. gangbare praktijk?</t>
  </si>
  <si>
    <t>7. Hoofdthema aanvraag</t>
  </si>
  <si>
    <t>8. Welke emissies / effecten?</t>
  </si>
  <si>
    <t>9. Verwachte of gemeten reductie / resultaat</t>
  </si>
  <si>
    <t>10. Ontwikkelingsfase</t>
  </si>
  <si>
    <t>11. Waar toegepast of getest?</t>
  </si>
  <si>
    <t>12. Welke onderbouwing is beschikbaar?</t>
  </si>
  <si>
    <t>13. Welke bijlagen meesturen?</t>
  </si>
  <si>
    <t>14. Welke hulpvraag aan het loket?</t>
  </si>
  <si>
    <t>15. Gewenste ondersteuning</t>
  </si>
  <si>
    <t>16. Betrokken partijen</t>
  </si>
  <si>
    <t>17. Prioriteit aanmelding</t>
  </si>
  <si>
    <t>18. Status voorbereiding</t>
  </si>
  <si>
    <t>19. Formulier / website</t>
  </si>
  <si>
    <t>20. Opmerking voor indiening</t>
  </si>
  <si>
    <t>Ja, waarschijnlijk</t>
  </si>
  <si>
    <t>Pluimvee: ouderdieren, broederij en vleeskuikens</t>
  </si>
  <si>
    <t>Vernieuwend door toepassing binnen Kuijpers Researchfield en combinatie met data, ketenintegratie en praktijkmonitoring.</t>
  </si>
  <si>
    <t>Energie en CO2-reductie</t>
  </si>
  <si>
    <t>CO2-equivalenten, energieverbruik</t>
  </si>
  <si>
    <t>Nog kwantificeren met meetdata; bestaande impact claim uit innovatiekaart gebruiken als eerste onderbouwing.</t>
  </si>
  <si>
    <t>Onderzoek / pilot / doorontwikkeling</t>
  </si>
  <si>
    <t>Kuijpers Kip / Kuijpers Researchfield; exacte stal, ronde en periode aanvullen.</t>
  </si>
  <si>
    <t>Projectbeschrijving, foto’s, technische onderbouwing, praktijkdata en toelichting op effecten.</t>
  </si>
  <si>
    <t>Welke route is passend voor beoordeling, validatie en eventuele erkenning/opschaling van deze innovatie?</t>
  </si>
  <si>
    <t>Toetsing of innovatie relevant is voor veehouderij-emissies en hoe CO2-effecten onderbouwd moeten worden.</t>
  </si>
  <si>
    <t>Middel</t>
  </si>
  <si>
    <t>Concept - aanvullen</t>
  </si>
  <si>
    <t>Praktijktoepassing / doorontwikkeling</t>
  </si>
  <si>
    <t>Emissiereductie / omgevingskwaliteit</t>
  </si>
  <si>
    <t>NH3, fijnstof, geur, waterkwaliteit/nutriënten</t>
  </si>
  <si>
    <t>Technische beschrijving, meetplan NH3/fijnstof/geur, meetrapporten, foto’s installatie, bedrijfsdata en dashboardexports.</t>
  </si>
  <si>
    <t>Technische beoordeling, meetplan, validatie en route naar erkenning emissiereductie.</t>
  </si>
  <si>
    <t>Hoog</t>
  </si>
  <si>
    <t>Integratie van mestvergisting, nutriëntenconcentratie, waterbehandeling en pluimveehouderij op één locatie/in één ketensysteem.</t>
  </si>
  <si>
    <t>Kringlooplandbouw / energie / mestverwaarding</t>
  </si>
  <si>
    <t>CO2-equivalenten, methaanbenutting, nutriënten, transportreductie</t>
  </si>
  <si>
    <t>Massabalans mest/digestaat, energieopbrengst, groengasdata, nutriëntenanalyse, transportberekening en procesbeschrijving.</t>
  </si>
  <si>
    <t>Beoordeling systeeminnovatie, koppeling met mest-/renurebeleid, meet- en borgingsroute.</t>
  </si>
  <si>
    <t>Ketenstappen worden geïntegreerd en fysiek/logistiek verkort, waardoor transport, contactmomenten en risico’s afnemen.</t>
  </si>
  <si>
    <t>Diergezondheid en dierenwelzijn</t>
  </si>
  <si>
    <t>Indirect: diergezondheid, uitval, antibioticagebruik, welzijn</t>
  </si>
  <si>
    <t>Veterinaire protocollen, titeranalyses, gezondheidsdata, uitvalcijfers, welzijnsindicatoren en proefopzet.</t>
  </si>
  <si>
    <t>Koppeling aan experts voor diergezondheid, welzijnsindicatoren en onderbouwing praktijkresultaten.</t>
  </si>
  <si>
    <t>Objectivering van diergedrag met video/AI zodat interventies beter gemeten en gestuurd kunnen worden.</t>
  </si>
  <si>
    <t>Data, monitoring en doelsturing</t>
  </si>
  <si>
    <t>Indirect: gezondheid, welzijn, management, emissiesturing</t>
  </si>
  <si>
    <t>Dashboardprints, datamodel, meetprotocol, validatieset, voorbeeldrapportages en resultaten per koppel/ronde.</t>
  </si>
  <si>
    <t>Toetsing inzetbaarheid voor doelsturing, datakwaliteit, meetprotocol en praktijkpilot.</t>
  </si>
  <si>
    <t>Combinatie van welzijns-, gezondheids- en productiedata in één sturingsinstrument voor praktijkbeslissingen.</t>
  </si>
  <si>
    <t>Te toetsen</t>
  </si>
  <si>
    <t>Praktijkprobleem: Brandveiligheid met behoud overleving kuikens. De innovatie richt zich op: Methodeontwikkeling watersysteem om bij brand of brandgevaar direct te kunnen blussen waarbij de kuikens in leven blijven.</t>
  </si>
  <si>
    <t>Veiligheid / dierwelzijn</t>
  </si>
  <si>
    <t>Niet primair emissie; vooral veiligheid en welzijn</t>
  </si>
  <si>
    <t>Vooroverleg of dit binnen de scope van het loket valt; eventueel doorverwijzing.</t>
  </si>
  <si>
    <t>Laag</t>
  </si>
  <si>
    <t>Rubriek formulier</t>
  </si>
  <si>
    <t>Vraag / veld</t>
  </si>
  <si>
    <t>Antwoord Kuijpers Researchfield</t>
  </si>
  <si>
    <t>Aanvullen door</t>
  </si>
  <si>
    <t>Status</t>
  </si>
  <si>
    <t>Opmerking</t>
  </si>
  <si>
    <t>Aanvrager</t>
  </si>
  <si>
    <t>Naam organisatie</t>
  </si>
  <si>
    <t>Kuijpers Kip / Kuijpers Researchfield</t>
  </si>
  <si>
    <t>Kuijpers</t>
  </si>
  <si>
    <t>Aanvullen</t>
  </si>
  <si>
    <t>Controleer juridische naam en KvK-gegevens.</t>
  </si>
  <si>
    <t>Contact</t>
  </si>
  <si>
    <t>Naam contactpersoon</t>
  </si>
  <si>
    <t>Open</t>
  </si>
  <si>
    <t>Naam, e-mail en telefoon invullen.</t>
  </si>
  <si>
    <t>Sector</t>
  </si>
  <si>
    <t>Diersoort / bedrijfstype</t>
  </si>
  <si>
    <t>Concept</t>
  </si>
  <si>
    <t>Eventueel specificeren per innovatie.</t>
  </si>
  <si>
    <t>Naam innovatie</t>
  </si>
  <si>
    <t>Zie kolom 3 per innovatieregel</t>
  </si>
  <si>
    <t>FoodInsights</t>
  </si>
  <si>
    <t>Kies eventueel 3-6 hoofdinnovaties voor eerste indiening.</t>
  </si>
  <si>
    <t>Korte beschrijving</t>
  </si>
  <si>
    <t>Zie kolom 4 per innovatieregel</t>
  </si>
  <si>
    <t>Maak maximaal 1.000-1.500 tekens per innovatie.</t>
  </si>
  <si>
    <t>Probleem</t>
  </si>
  <si>
    <t>Welk probleem wordt opgelost?</t>
  </si>
  <si>
    <t>Zie kolom 5 per innovatieregel</t>
  </si>
  <si>
    <t>Koppel aan emissie, welzijn, gezondheid of kringloop.</t>
  </si>
  <si>
    <t>Nieuwheid</t>
  </si>
  <si>
    <t>Wat is vernieuwend?</t>
  </si>
  <si>
    <t>Zie kolom 6 per innovatieregel</t>
  </si>
  <si>
    <t>Maak onderscheid tussen techniek, management, data en ketenintegratie.</t>
  </si>
  <si>
    <t>Effect</t>
  </si>
  <si>
    <t>Welke emissies/effecten worden geraakt?</t>
  </si>
  <si>
    <t>Zie kolom 8 per innovatieregel</t>
  </si>
  <si>
    <t>NH3, fijnstof, geur, CO2, waterkwaliteit, welzijn, gezondheid.</t>
  </si>
  <si>
    <t>Bewijs</t>
  </si>
  <si>
    <t>Welke meetgegevens zijn beschikbaar?</t>
  </si>
  <si>
    <t>Zie kolom 12 per innovatieregel</t>
  </si>
  <si>
    <t>Kuijpers/FoodInsights</t>
  </si>
  <si>
    <t>Meetrapporten, dashboardexports, labanalyses, foto’s, procesflows.</t>
  </si>
  <si>
    <t>Fase</t>
  </si>
  <si>
    <t>Ontwikkelingsfase</t>
  </si>
  <si>
    <t>Zie kolom 10 per innovatieregel</t>
  </si>
  <si>
    <t>Idee/prototype/pilot/praktijktoepassing/opschaling.</t>
  </si>
  <si>
    <t>Hulpvraag</t>
  </si>
  <si>
    <t>Wat wordt gevraagd van het loket?</t>
  </si>
  <si>
    <t>Zie kolom 14 en 15 per innovatieregel</t>
  </si>
  <si>
    <t>Maak de vraag concreet: validatie, meetplan, erkenningsroute, juridische toets.</t>
  </si>
  <si>
    <t>Bijlagen</t>
  </si>
  <si>
    <t>Welke documenten meesturen?</t>
  </si>
  <si>
    <t>Zie kolom 13 per innovatieregel</t>
  </si>
  <si>
    <t>Maak per cluster één innovatiecase van 1-2 pagina’s.</t>
  </si>
  <si>
    <t>Waar aanmelden?</t>
  </si>
  <si>
    <t>Gereed</t>
  </si>
  <si>
    <t>Online formulier via Nationaal Innovatieloket Veehouderij.</t>
  </si>
  <si>
    <t>Prioriteit</t>
  </si>
  <si>
    <t>Cluster</t>
  </si>
  <si>
    <t>Innovaties</t>
  </si>
  <si>
    <t>Waarom logisch voor loket?</t>
  </si>
  <si>
    <t>Aanpak indiening</t>
  </si>
  <si>
    <t>Eerste bewijsstukken</t>
  </si>
  <si>
    <t>1</t>
  </si>
  <si>
    <t>Emissie, lucht en water</t>
  </si>
  <si>
    <t>Luchtwasser; WaterSafe; Omgevingsveiligheid NH3/fijnstof/geur; Bioenergie-WaterSafe</t>
  </si>
  <si>
    <t>Directe koppeling met emissiereductie en omgevingskwaliteit.</t>
  </si>
  <si>
    <t>Als eerste cluster aanmelden met concrete hulpvraag over meetplan en validatie.</t>
  </si>
  <si>
    <t>Technische beschrijving, foto’s, meetplan, bestaande emissie-/waterdata.</t>
  </si>
  <si>
    <t>2</t>
  </si>
  <si>
    <t>Bioenergie, mest en nutriënten</t>
  </si>
  <si>
    <t>Groengasproductie; N2-stripper; Renure productie</t>
  </si>
  <si>
    <t>Sterke systeeminnovatie: energie, mestverwaarding, nutriënten en transportreductie.</t>
  </si>
  <si>
    <t>Indienen als geïntegreerde keten-/systeeminnovatie.</t>
  </si>
  <si>
    <t>Procesflow, massabalans, digestaat-/nutriëntenanalyse, energiedata.</t>
  </si>
  <si>
    <t>3</t>
  </si>
  <si>
    <t>Data en doelsturing</t>
  </si>
  <si>
    <t>AI-gedragsherkenning; welzijns- &amp; gezondheidsdashboard; veterinaire analyse</t>
  </si>
  <si>
    <t>Relevant voor objectieve monitoring, doelsturing en onderbouwing van effecten.</t>
  </si>
  <si>
    <t>Indienen als ondersteunende innovatie voor meetbaarheid en borging.</t>
  </si>
  <si>
    <t>Dashboardprints, datadefinities, validatieproeven, voorbeeldrapportages.</t>
  </si>
  <si>
    <t>4</t>
  </si>
  <si>
    <t>Korte keten en biosecurity</t>
  </si>
  <si>
    <t>Vermeden transportkilometers; vermeden kruisbesmettingsrisico; eigen voerprogramma</t>
  </si>
  <si>
    <t>Onderbouwt ketenintegratie, lagere risico’s en indirecte emissie-/gezondheidswinst.</t>
  </si>
  <si>
    <t>Meenemen als context of apart aanmelden na eerste emissiecluster.</t>
  </si>
  <si>
    <t>Ketenkaart, transportberekening, biosecurityprotocol, productiedata.</t>
  </si>
  <si>
    <t>5</t>
  </si>
  <si>
    <t>Gezondheid, welzijn en veiligheid</t>
  </si>
  <si>
    <t>Vaccinontwikkeling; vaccinatiemethode; haanmanagement; 0-antibiotica; brandblustechniek</t>
  </si>
  <si>
    <t>Relevant, maar deels buiten primaire emissiescope; eerst scope laten toetsen.</t>
  </si>
  <si>
    <t>Vooroverleg vragen of aanmelden als welzijns-/gezondheidspilot.</t>
  </si>
  <si>
    <t>Veterinaire data, proefopzet, welzijnsindicatoren, veiligheidsprotocol.</t>
  </si>
  <si>
    <t>Familiewarmte</t>
  </si>
  <si>
    <t>Specificatie 2</t>
  </si>
  <si>
    <t>Vleeskuikens</t>
  </si>
  <si>
    <t>Broederij</t>
  </si>
  <si>
    <t>Ouderdieren</t>
  </si>
  <si>
    <t>Bioenergiecentrale</t>
  </si>
  <si>
    <t>Vleeskuikens en broederij</t>
  </si>
  <si>
    <t>Vleeskuikens en bioenergiecentrale</t>
  </si>
  <si>
    <t>Ouderdieren en broederij</t>
  </si>
  <si>
    <t>Integrale keten</t>
  </si>
  <si>
    <t>Diersoortspecificatie 2</t>
  </si>
  <si>
    <t>Zonnepanelen productielocatie</t>
  </si>
  <si>
    <t>Praktijkprobleem: aanvoer electra, CO2 footprint; Electravraagverlaging, energievraag verlaging. De innovatie richt zich op: Electraopwekking met zonnepanelen, zodat aanvoer electra wordt verlaagd.</t>
  </si>
  <si>
    <t>Praktijkprobleem: borging kwaliteit oppervlakte water en nutrientbehoud; Waterlozingsstop, nutrientbehoud. De innovatie richt zich op: Gebruik luchtwasser om overtollig water te verdampen zoals reinigingswater .</t>
  </si>
  <si>
    <t>Praktijkprobleem: ammoniakemissie, te lage kwaliteit meststoffen en nutrientbehoud. De innovatie richt zich op: N2-strippen van vloeibare fractie digestaat in de bioenergiecentrale om ammonium-N te scheiden en concentreren om het zo bruikbaar te maken als grondstof.</t>
  </si>
  <si>
    <t>Praktijkprobleem: te lage kwaliteit meststoffen, wens tot kwaliteitsverhoging; Bemesting op maat, ondersteuning akkerbouw. De innovatie richt zich op: Productie van meststoffen op maat voor akkerbouw, vollegrondsgroententeelt waarbij transport van water beperkt wordt.</t>
  </si>
  <si>
    <t>Praktijkprobleem: borging kwaliteit oppervlaktewater en nutrientbehoud; Waterlozingsstop, nutrientbehoud. De innovatie richt zich op: Gebruik luchtwasser om overtollig water te verdampen na renureproductieproces bioenergiecentrale.</t>
  </si>
  <si>
    <t>Praktijkprobleem: te veel vrachtwagenbewegingen; Reductie transport broedeieren, eendagskuikens, mest. De innovatie richt zich op: Korte keten bestaat uit ouderdieren, broederij, vleeskuikenshouderij, mestvergisting inclusief renureproductie (alles in eigen beheer) waardoor transportkilometers beperkt worden.</t>
  </si>
  <si>
    <t>Praktijkprobleem: Insleep ziektekiemen van andere bedrijven/broederijen; Vermijding ketenkruispunten ouderdieren, broederij, vleeskuikens, mest. De innovatie richt zich op: Korte keten bestaat uit ouderdieren, broederij, vleeskuikenshouderij, mestvergisting inclusief renureproductie (alles in eigen beheer) waardoor een liniaire keten ontstaat zonder de aanvoer van dieren of broedeieren van andere bedrijven en bijbehorende ziektes zodat bio-veiligheid gemaximeer.</t>
  </si>
  <si>
    <t>Praktijkprobleem: stabiliteit darmlora vleeskuikens en stabiliteit biotoop vergister; Stabiliteit productiveit, stabiliteit vergister. De innovatie richt zich op: Eigen voerprogramma zorgt voor stabiel gebruik van voergrondstoffen om stabiliteit en betere gezondheid te creeeren in het maagdarmstelsel vleeskuikens/ouderdieren en in het biotoop van de vergister van de bio-energiecentrale.</t>
  </si>
  <si>
    <t>Praktijkprobleem: te lage weerstand kuikens en aantal vaccinaties; Verhoging weerstand kuikens, leefbaarheid. De innovatie richt zich op: Ontwikkeling vaccins om aantal vaccinaties te beperken en effectiever te maken.</t>
  </si>
  <si>
    <t>Praktijkprobleem: te lage weerstand kuikens; Verhoging weerstand kuikens, leefbaarheid. De innovatie richt zich op: Ontwikkeling vaccinatiemethode in broedeieren om vaccinaties effectiever te maken.</t>
  </si>
  <si>
    <t>Praktijkprobleem: te lage weerstand kuikens; Verhoging weerstand kuikens, leefbaarheid. De innovatie richt zich op: Ontwikkeling analysemethode in veterinair lab om titeranalyse te verbeteren en zo beter beeld te krijgen van weerstand kuikens en eerder in te kunnen grijpen bij afwijkingen.</t>
  </si>
  <si>
    <t>Praktijkprobleem: onmogelijkheid tot objectivering gedrag icm beschikbaarheid geschikte mensen; Objectivering gedragscategorien, mogelijk maken interventieonderzoek. De innovatie richt zich op: Ontwikkeling van video-analyse om gedrag vleeskuikens te categoriseren, quantificeren en objectiveren, zodat dit gebruikt kan worden voor interventieonderzoek en resultaten van deze interventies weer te geven.</t>
  </si>
  <si>
    <t>Praktijkprobleem: onmogelijkheid tot objectivering gedrag icm beschikbaarheid geschikte mensen; Visualisatie welzijnskenmerken, verhoging besliskwaliteit. De innovatie richt zich op: Ontwikkeling welzijns&amp;gezondheidsdashboard om zowel in-line en na afloop van koppelvleeskuikens sturingsmogelijkheden te krijgen op welzijn.</t>
  </si>
  <si>
    <t>Praktijkprobleem: maatschappelijke wens in combinatie met behoud dierprestatie; Anti-bioticareductie. De innovatie richt zich op: Methodeontwikkeling veterinaire monitoring in korte keten om geen antibiotica te hoeven gebruiken.</t>
  </si>
  <si>
    <t>Praktijkprobleem: acceptatie omgeving en behoud kwaliteit en veiligheid. De innovatie richt zich op: Methodeontwikkeling luchtwastechniek om uitstoot NH3, fijnstof en ziektekiemen te minimaliseren.</t>
  </si>
  <si>
    <t>Vernieuwend door herontwerp energiestromen vleeskuikenbedrijf; toepassing binnen Kuijpers Researchfield en combinatie met data, ketenintegratie en praktijkmonitoring.</t>
  </si>
  <si>
    <t>Vernieuwend door herontwerp energiestromen vleeskuikenbedrijf en broederij; toepassing binnen Kuijpers Researchfield en combinatie met data, ketenintegratie en praktijkmonitoring.</t>
  </si>
  <si>
    <t>Vernieuwend door herontwerp nutrientstromen binnen vleeskuikenbedrijf; Toepassing en doorontwikkeling gericht op gecombineerde reductie van emissie, waterlozing en nutriëntenverlies.</t>
  </si>
  <si>
    <t>Vernieuwend door hertontwerp waterstromen binnen vleeskuikenbedrijf; Toepassing en doorontwikkeling gericht op gecombineerde reductie van emissie, waterlozing en nutriëntenverlies.</t>
  </si>
  <si>
    <t>Lichtrecept</t>
  </si>
  <si>
    <t>Ontwikkeling lichtrecept van lichtfrequenties tbv verhoging gezondheid kuikens</t>
  </si>
  <si>
    <t>Ontwikkeling van lichtrecept met lichtfrequenties waarbij kuikens zich het best ontwikkelen</t>
  </si>
  <si>
    <t>Praktijkprobleem: bestaande lichtbronnen leveren lichte vorm van stress op door onregelmatige frequenties die wel worden waargenomen door kippen maar niet door mensen</t>
  </si>
  <si>
    <t>Lichtrecept met lichtbronnen die zo veel mogelijk natuur nabootsen</t>
  </si>
  <si>
    <t>Lichtrecepten, onderzoeksresultaten, gezondheidsdata, uitvalcijfers, welzijnsindicatoren en proefopzet</t>
  </si>
  <si>
    <t>Wat is nodig voor innovatieloket?</t>
  </si>
  <si>
    <t>Kuijpers Kip; FoodInsights; eventueel aan te vullen met technische leverancier/onderzoekspartner.</t>
  </si>
  <si>
    <t>Kuijpers Kip; FoodInsights</t>
  </si>
  <si>
    <t>x</t>
  </si>
  <si>
    <t>Meetperiode: 2019-nu; referentieperiode 2010-2014 en indien beschikbaar sectorgemiddelde; effect: afkoppelen gasaansluiting; verantwoordelijke Marcel Kuijpers</t>
  </si>
  <si>
    <t>Meetperiode: 2019-nu; referentieperiode 2010-2014 en indien beschikbaar sectorgemiddelde; effect: grote verlaging electravraag; verantwoordelijke Marcel Kuijpers</t>
  </si>
  <si>
    <t>Meetperiode: 2019-nu; referentieperiode 2010-2014 en indien beschikbaar sectorgemiddelde; effect: verlaging uitstoot NH3 (97%), fijnstof (95%), potentiele ziektekiemen (idem); verantwoordelijke Marcel Kuijpers</t>
  </si>
  <si>
    <t>Meetperiode: 2019-nu; referentieperiode 2010-2014 en indien beschikbaar sectorgemiddelde; stop waterlozing op oppervlaktewater; verantwoordelijke Marcel Kuijpers</t>
  </si>
  <si>
    <t>Meetperiode: 2026 en verder; referentie externe vergisters; energieopwekking uit mest en invoeding gasnetwerk; verantwoordelijke Marcel Kuijpers</t>
  </si>
  <si>
    <t>Meetperiode: 2026 en verder; referentie externe vergisters; geen lozing water op oppervlaktewater, behoud nutrienten; verantwoordelijke Marcel Kuijpers</t>
  </si>
  <si>
    <t>Meetperiode: 2026 en verder; referentie externe vergisters; verbetering productie meststoffen, behoud nutrienten; verantwoordelijke Marcel Kuijpers</t>
  </si>
  <si>
    <t>Meetperiode: 2026 en verder; referentie externe vergisters; verbetering productie meststoffen en behoud nutrienten; verantwoordelijke Marcel Kuijpers</t>
  </si>
  <si>
    <t>Meetperiode: 2019-nu; referentieperiode 2010-2014 en indien beschikbaar sectorgemiddelde; 2/3 reductie transport levende dieren; verantwoordelijke Marcel Kuijpers</t>
  </si>
  <si>
    <t>Meetperiode: 2019-nu; referentieperiode 2010-2014 en indien beschikbaar sectorgemiddelde; volledige reductie ketenkruispunten met bijbehorende infectierisico en kruisbesmetting; verantwoordelijke Marcel Kuijpers</t>
  </si>
  <si>
    <t>Meetperiode: 2022-nu; referentieperiode 2010-2014 en indien beschikbaar sectorgemiddelde; stabiliteit microbioom vleeskuikens en biotoop vergister; verantwoordelijke Marcel Kuijpers</t>
  </si>
  <si>
    <t>Meetperiode: 2019-nu; referentieperiode 2010-2014 en indien beschikbaar sectorgemiddelde; lagere uitval, robuustere vleeskuikens; verantwoordelijke Marcel Kuijpers</t>
  </si>
  <si>
    <t>Meetperiode: 2019-2021; referentieperiode 2010-2014 en indien beschikbaar sectorgemiddelde; lagere uitval, welzijn vleeskuikens; verantwoordelijke Marcel Kuijpers</t>
  </si>
  <si>
    <t>Meetperiode: 2026 en verder; referentieperiode 2010-2014 en indien beschikbaar sectorgemiddelde; welzijn vleeskuikens, betere technische resultaten; verantwoordelijke Marcel Kuijpers</t>
  </si>
  <si>
    <t>Meetperiode: 2019-2021; referentieperiode 2010-2014 en indien beschikbaar sectorgemiddelde; lagere uitval moederdieren, hogere bevruchtings%, hogere hatchings%; verantwoordelijke Marcel Kuijpers</t>
  </si>
  <si>
    <t>Meetperiode: 2019-nu; referentieperiode 2010-2014 en indien beschikbaar sectorgemiddelde; overleving vleeskuikens bij brand; verantwoordelijke Marcel Kuijpers</t>
  </si>
  <si>
    <t>Meetperiode: 2019-nu; referentieperiode 2010-2014 en indien beschikbaar sectorgemiddelde; hogere voedselveiligheid; verantwoordelijke Marcel Kuijpers</t>
  </si>
  <si>
    <t>Kuikens worden in het ei verplaatst naar de stal en worden geboren bij de juiste temperatuur in aanwezigheid van water en voer</t>
  </si>
  <si>
    <t>Eigen broedeiperoductie, broederij en uitkomen in de stal</t>
  </si>
  <si>
    <t>Methode om kuikens in de aanwezigheid van water en voer uit te laten komen waardoor de start van het kuikens optimaal is en er geen kruisbesmettuingen optreden door eieren van andere moederdieren</t>
  </si>
  <si>
    <t>Minder CO2 emissie door verwarming via familiewarmte; minder uitval van dieren; welijn; geen antibiotica nodig; Inopovovaccinatie; diergezondheid ; minder hygiënekosten door minder transportmiddelen gebruik</t>
  </si>
  <si>
    <t>1-3 % hogere uitkomst; scheelt een diertransport; 3 kratten minder wassen</t>
  </si>
  <si>
    <t>Doorontwikkeling</t>
  </si>
  <si>
    <t>https://research.wur.nl/en/projects/optimisation-of-environmental-conditions-during-the-perinatal-dev/publications/?type=%2Fdk%2Fatira%2Fpure%2Fresearchoutput%2Fresearchoutputtypes%2Fthesis%2Finternwu</t>
  </si>
  <si>
    <t>Erkenning van deze methode als duurzaam en diervriendelijker in combinatie met de Patio</t>
  </si>
  <si>
    <t>Kuijpers Kip; FoodInsights; Vencomatic</t>
  </si>
  <si>
    <t>Verhoging weerstand kuikens, leefbaarheid; geen koeling nodig in uitkomstkast</t>
  </si>
  <si>
    <t>Kruisbesmettingen; geen verlies van maternale immuniteit; moeilijke start; uniformere koppels; hogere uitkomst; welzijnsprobleem in broederij en bij diertransport, separatie van eiereschalen en onrust door honger en dorst in de broederij.</t>
  </si>
  <si>
    <t xml:space="preserve">Alles in eigen beheer; traceerbaarheid 100%; </t>
  </si>
  <si>
    <t>Reductie emissie NH3, fijnstof, geur; nutrientbehoud, waterkwaliteit; watrmetterugwinning</t>
  </si>
  <si>
    <t>Waterlozingsstop, nutrientbehoud, renureproductie</t>
  </si>
  <si>
    <t>Stabiliteit productiveit, extra kwaliteit voer bij moederdieren resulteert bij vleeskuikens in betere start en welzijn</t>
  </si>
  <si>
    <t>Verhoging weerstand kuikens, leefbaarheid; geen entreacties en kruisbesmettingen met levende vaccins</t>
  </si>
  <si>
    <t>Gezondheidsverhoging vleeskuikens; sturing licht op gewenste positievegedragingen van kuikens/ welzijn</t>
  </si>
  <si>
    <t>Vruchtbaarheid ouderdieren, bevruchtings% broedeieren; snelle tyerugkoppeling door vroege bevruchtingsmeting in broederij</t>
  </si>
  <si>
    <t xml:space="preserve">Veiligheid </t>
  </si>
  <si>
    <t>Brandveiligheid met behoud overleving kuikens; tevens gebruik als koeling ter voorkoming hittestress; dierenwelzijn; efficienter reinigen door inweken met dit systeem</t>
  </si>
  <si>
    <t>Methodeontwikkeling watersysteem om bij brand of brandgevaar direct te kunnen blussen waarbij de kuikens in leven blijven; dit in combinatie met koelsysteem ter voorkoming hittestress bij hoge temperaturen</t>
  </si>
  <si>
    <t>Praktijkprobleem: deels vermijden ongewenst paargedrag moederdieren; Vruchtbaarheid ouderdieren, bevruchtings% broedeieren. De innovatie richt zich op: Methodeontwikkeling haanmanagement om aantal aanwezige hanen te beperken en bevruchting en bebroedbaarheid toch te verhogen.; dierenwelzijn door minder agressief gedrag bij hanen  en minder paringsontwijkend gedrag bij hennen; verlaging voerkosten hanen door minder hanen in stal.</t>
  </si>
  <si>
    <t>Indirect: diergezondheid, uitval, antibioticagebruik, welzijn; minder voergerbuik bij hanen dus minder landgebruik CO2 emissie e.d.</t>
  </si>
  <si>
    <t>Nog kwantificeren met meetdata; bestaande impact claim uit innovatiekaart gebruiken als eerste onderbouwing. Voergebruik hanen voer ca. 30% lager</t>
  </si>
  <si>
    <t>Veterinaire protocollen, titeranalyses, gezondheidsdata, uitvalcijfers, welzijnsindicatoren en proefopzet. Onderzoek Rick van Emaus WUR</t>
  </si>
  <si>
    <t>Gebruik overtollige energie oudere kuikens voor opwarmen stallen jongere kuikens via warmte terugwinning uit het waswater van de luchtwassers</t>
  </si>
  <si>
    <t>Gebruik overtollige energie oudere kuikens voor opwarmen stallen jongere kuikens. Geeft veel betere stalconditiets in de winter omdat de minimumventilatie op een hoger nieveau kan blijven in koude weersomstandigheden</t>
  </si>
  <si>
    <t>Emissieverlaging; diernwelijn</t>
  </si>
  <si>
    <t>Energievraag verlaging</t>
  </si>
  <si>
    <t>Geen aardgas nodig, energievraagverlaging;  CO2 reductie; welzijn doorbetere klimaatomstandigheden en bodemstrooisel</t>
  </si>
  <si>
    <t>Praktijkprobleem: aanvoer aardgas, CO2footprint. Geen aardgas nodig, energievraagverlaging. De innovatie richt zich op: Gebruik overtollige energie oudere kuikens voor opwarmen stallen jongere kuikens; Voorkomen van slechte klimaatomstandigheden in de winter door de beschikbaarheid van genoeg warmte in de stallen. Beter bodemstrooisel door hogere minimumventilatie in winter</t>
  </si>
  <si>
    <t>CO2-equivalenten, energieverbruik; dierwelzijn en gezondeheid</t>
  </si>
  <si>
    <t>Kuijpers Kip; FoodInsights; INNO plus</t>
  </si>
  <si>
    <t>Luchtwasser om ammoniak- en fijnstofemissie te reduceren in combinatie met warmteterugwinning</t>
  </si>
  <si>
    <t>Praktijkprobleem: acceptatie in omgeving; Reductie emissie NH3, fijnstof, geur; nutrientbehoud, waterkwaliteit. De innovatie richt zich op: Luchtwasser om CO2- ammoniak- en fijnstofemissie te reduceren.</t>
  </si>
  <si>
    <t>Emissiereductie / omgevingskwaliteit / dierenwelijn- en gezondheid</t>
  </si>
  <si>
    <t>Netto energieproducent, transportreductie; minder afhankelijkheid van externe stroomvoorziening/congestieproblemen;</t>
  </si>
  <si>
    <t>Gebruik mest voor vergisting mest en opgewekte methaan na zuiveringsstap invoeden op aardgasnetwerk in combinatie met WKK voor eigen warmte en electriciteitsproductie</t>
  </si>
  <si>
    <t>Praktijkprobleem: verwaarding meststoffen en beschikbare energie; Netto energieproducent, transportreductie. De innovatie richt zich op: Gebruik mest voor vergisting mest en opgewekte methaan na zuiveringsstap invoeden op aardgasnetwerk.; verlaging emissie Methaan en NH3</t>
  </si>
  <si>
    <t>Gebruik luchtwasser om overtollig water te verdampen zoals reinigingswater dat eerst wordt gereiniging via bezinking</t>
  </si>
  <si>
    <t>Kuijpers Kip; FoodInsights; INNO+ eventueel aan te vullen met technische leverancier/onderzoekspartner.</t>
  </si>
  <si>
    <t>Kuijpers Kip; FoodInsights; Bio Energiecentrale Maashorst; Hoebensteyn</t>
  </si>
  <si>
    <t>Kuijpers Kip; FoodInsights; Fuite Veevoeders</t>
  </si>
  <si>
    <t>Kuijpers Kip; FoodInsights; MSD; CEVA</t>
  </si>
  <si>
    <t>Kuijpers Kip; FoodInsights; Innovatec</t>
  </si>
  <si>
    <t>Kuijpers Kip; FoodInsights; Sygnify</t>
  </si>
  <si>
    <t>Kuijpers Kip; FoodInsights; GD; Veterinair Centrum Someren</t>
  </si>
  <si>
    <t>Kuijpers Kip; FoodInsights; HAS green academy</t>
  </si>
  <si>
    <t>Kuijpers Kip; FoodInsights; WUR</t>
  </si>
  <si>
    <t>Kuijpers Kip; FoodInsights; MJ-Tech</t>
  </si>
  <si>
    <t>Patio systeem</t>
  </si>
  <si>
    <t>Gezondheid &amp; welzijn/Productie efficiency</t>
  </si>
  <si>
    <t>Kuikens worden in het ei verplaatst naar de stal en worden geboren bij de juiste temperatuur in aanwezigheid van water en voer; Groeien op in etages waarna het laden stressvrij en zonder indroductie van mensen en machines plaatsvindt</t>
  </si>
  <si>
    <t>Korte keten, vermeden kruisbesmettingsrisico;arbeidsomstandigheden laders en verzorgend personeel</t>
  </si>
  <si>
    <t xml:space="preserve">All round houderijsysteem </t>
  </si>
  <si>
    <t>Kruisbesmettingen; geen verlies van maternale immuniteit; moeilijke start; uniformere koppels; hogere uitkomst; welzijnsprobleem in broederij en bij diertransport, separatie van eiereschalen en onrust door honger en dorst in de broederij. Laden kuikens zonder introctite van machines en personeel in de stal</t>
  </si>
  <si>
    <t>Alles in eigen beheer; traceerbaarheid 100%; geen kruisbestemmingen</t>
  </si>
  <si>
    <t>Veiligheid / dierwelzijn/ efficientie</t>
  </si>
  <si>
    <t>Minder CO2 emissie door verwarming via familiewarmte; minder uitval van dieren; welzijn; geen antibiotica nodig; diergezondheid ; minder hygiënekosten door minder transportmiddelen gebruik</t>
  </si>
  <si>
    <t>NH3- 70% Betere VC , lagere uitval beter dierwelzijn</t>
  </si>
  <si>
    <t>Erkenning van deze methode als duurzaam en diervriendelijker</t>
  </si>
  <si>
    <t>Alle categorieën R&amp;D</t>
  </si>
  <si>
    <t>Digital twin (Kuijpers Kip Research Field)</t>
  </si>
  <si>
    <t>Visualisatie alle bedrijfsonderdelen geintegreerd; verhogen besliskwaliteit ; managementondersteuning; traceerbaarheid</t>
  </si>
  <si>
    <t>Ontwikkeling dashboard om zowel in-line en na afloop van koppelvleeskuikens sturingsmogelijkheden te krijgen op alle managementparameters en om voor externe partijen onderzoek te kunnen doen aan hun innovaties</t>
  </si>
  <si>
    <t>Pluimvee: ouderdieren, broederij en vleeskuikens en hun periferie</t>
  </si>
  <si>
    <t>Digital Twin/Kuijpers Kip Research Field</t>
  </si>
  <si>
    <t xml:space="preserve">Ontwikkeling dashboard om zowel in-line en na afloop van alle dieren in de keten voor optimalisatie van het management; ondersteuning van R&amp;D ook in samenwerking met andere bedrijven; optimalisatie van het dierenwelzijn </t>
  </si>
  <si>
    <t>Teruglopende onderzoeksfacciliteiten in Nederland leidt tot een vraag naar research mogelijkheden op praktijkschaal; All informatie binnen de keten gekoppeld en inzichtelijk; Traceringproblematiek opgelost</t>
  </si>
  <si>
    <t>Alle keten informatie in één dashboard</t>
  </si>
  <si>
    <t>Indirect: gezondheid, welzijn, management, emissiesturing, efficientie</t>
  </si>
  <si>
    <t>Verhoging weerstand kuikens, leefbaarheid; Technische resultaten;Werkomstandigheden verzorgend personeel en kuikenladers door automatisch laden; ventilatie op dierniveau; In house hatching; vroege voeding koppeling met luchtwasser</t>
  </si>
  <si>
    <t>Veranda systeem i.c.m. met Meggius</t>
  </si>
  <si>
    <t xml:space="preserve">Beter stalkimaat rond de dieren, Optimale benutting van het voer, gescheiden voeren van hanen en hennen; geen extra energiekosten; lage emissie NH3 . Automatische eiercollectie, selectie dataverzameling en verpakken </t>
  </si>
  <si>
    <t xml:space="preserve">Hennen en hanen leven in kleine groepen (600 dieren) met 30% scharrelruimte en een automaisch legnet waardoor geen grondeieren ontstaan. </t>
  </si>
  <si>
    <t>Broederij en vleeskuikens</t>
  </si>
  <si>
    <t>de combinatie met eigen broederij en vleeskuikens</t>
  </si>
  <si>
    <t xml:space="preserve">Stalemissies; eierverzameling; goede controle op de dieren; efficent gebruik grondstoffen.Hoge kwaliteit voeders leverd direct binnen de eigen keten meer rendement bij de vleeskuikens; alle informatie open en beschikbaar; snelle en bestrouwbare terugkoppeling kuikenkwaliteit </t>
  </si>
  <si>
    <t>Minder verliezen in de keten lage NH3 emissie</t>
  </si>
  <si>
    <t>NH3- 45% Betere VC , lagere uitval leger voergebruik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</si>
</sst>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ont>
    <font>
      <b/>
      <sz val="11"/>
      <color theme="1"/>
      <name val="Aptos Narrow"/>
      <family val="2"/>
    </font>
    <font>
      <b/>
      <sz val="11"/>
      <color rgb="FFFFFFFF"/>
      <name val="Aptos Narrow"/>
      <family val="2"/>
    </font>
    <font>
      <b/>
      <sz val="14"/>
      <color rgb="FF1F4E78"/>
      <name val="Aptos Narrow"/>
      <family val="2"/>
    </font>
    <font>
      <sz val="11"/>
      <color rgb="FF1F2937"/>
      <name val="Aptos Narrow"/>
      <family val="2"/>
    </font>
    <font>
      <sz val="11"/>
      <color theme="1"/>
      <name val="Aptos Narrow"/>
      <family val="2"/>
    </font>
    <font>
      <u/>
      <sz val="11"/>
      <color theme="10"/>
      <name val="Aptos Narrow"/>
    </font>
  </fonts>
  <fills count="4">
    <fill>
      <patternFill patternType="none"/>
    </fill>
    <fill>
      <patternFill patternType="gray125"/>
    </fill>
    <fill>
      <patternFill patternType="solid">
        <fgColor rgb="FF1F4E78"/>
      </patternFill>
    </fill>
    <fill>
      <patternFill patternType="solid">
        <fgColor rgb="FFEAF3F8"/>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9">
    <xf numFmtId="0" fontId="0" fillId="0" borderId="0" xfId="0"/>
    <xf numFmtId="0" fontId="1" fillId="0" borderId="0" xfId="0" applyFont="1"/>
    <xf numFmtId="0" fontId="3" fillId="0" borderId="0" xfId="0" applyFont="1"/>
    <xf numFmtId="0" fontId="4" fillId="3" borderId="0" xfId="0" applyFont="1" applyFill="1" applyAlignment="1">
      <alignment wrapText="1"/>
    </xf>
    <xf numFmtId="14" fontId="4" fillId="3" borderId="0" xfId="0" applyNumberFormat="1" applyFont="1" applyFill="1" applyAlignment="1">
      <alignment wrapText="1"/>
    </xf>
    <xf numFmtId="0" fontId="2" fillId="2" borderId="0" xfId="0" applyFont="1" applyFill="1" applyAlignment="1">
      <alignment horizontal="center" vertical="top" wrapText="1"/>
    </xf>
    <xf numFmtId="0" fontId="0" fillId="0" borderId="0" xfId="0" applyAlignment="1">
      <alignment vertical="top" wrapText="1"/>
    </xf>
    <xf numFmtId="0" fontId="5" fillId="0" borderId="0" xfId="0" applyFont="1" applyAlignment="1">
      <alignment vertical="top" wrapText="1"/>
    </xf>
    <xf numFmtId="0" fontId="6" fillId="0" borderId="0" xfId="1" applyAlignment="1">
      <alignment vertical="top" wrapText="1"/>
    </xf>
  </cellXfs>
  <cellStyles count="2">
    <cellStyle name="Hyperlink" xfId="1" builtinId="8"/>
    <cellStyle name="Standaard" xfId="0" builtinId="0"/>
  </cellStyles>
  <dxfs count="1">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novatieFormulierTabel" displayName="InnovatieFormulierTabel" ref="A6:AD29">
  <tableColumns count="30">
    <tableColumn id="1" xr3:uid="{00000000-0010-0000-0000-000001000000}" name="Innovatie"/>
    <tableColumn id="2" xr3:uid="{00000000-0010-0000-0000-000002000000}" name="Innovatiecategorie"/>
    <tableColumn id="3" xr3:uid="{00000000-0010-0000-0000-000003000000}" name="Impact"/>
    <tableColumn id="4" xr3:uid="{00000000-0010-0000-0000-000004000000}" name="Omschrijving"/>
    <tableColumn id="5" xr3:uid="{00000000-0010-0000-0000-000005000000}" name="CO2 emissie"/>
    <tableColumn id="6" xr3:uid="{00000000-0010-0000-0000-000006000000}" name="NH3Emissie"/>
    <tableColumn id="7" xr3:uid="{00000000-0010-0000-0000-000007000000}" name="Gezondheid"/>
    <tableColumn id="8" xr3:uid="{00000000-0010-0000-0000-000008000000}" name="Welzijn"/>
    <tableColumn id="9" xr3:uid="{00000000-0010-0000-0000-000009000000}" name="Waterkwaliteit"/>
    <tableColumn id="10" xr3:uid="{00000000-0010-0000-0000-00000A000000}" name="1. Past binnen Innovatieloket?"/>
    <tableColumn id="11" xr3:uid="{00000000-0010-0000-0000-00000B000000}" name="2. Diersoort / sector"/>
    <tableColumn id="30" xr3:uid="{DDAC757D-B073-480A-9E7A-2FAE52E0E220}" name="Diersoortspecificatie 2" dataDxfId="0"/>
    <tableColumn id="12" xr3:uid="{00000000-0010-0000-0000-00000C000000}" name="3. Naam innovatie voor formulier"/>
    <tableColumn id="13" xr3:uid="{00000000-0010-0000-0000-00000D000000}" name="4. Korte innovatiebeschrijving"/>
    <tableColumn id="14" xr3:uid="{00000000-0010-0000-0000-00000E000000}" name="5. Welk probleem lost dit op?"/>
    <tableColumn id="15" xr3:uid="{00000000-0010-0000-0000-00000F000000}" name="6. Wat is vernieuwend t.o.v. gangbare praktijk?"/>
    <tableColumn id="16" xr3:uid="{00000000-0010-0000-0000-000010000000}" name="7. Hoofdthema aanvraag"/>
    <tableColumn id="17" xr3:uid="{00000000-0010-0000-0000-000011000000}" name="8. Welke emissies / effecten?"/>
    <tableColumn id="18" xr3:uid="{00000000-0010-0000-0000-000012000000}" name="9. Verwachte of gemeten reductie / resultaat"/>
    <tableColumn id="19" xr3:uid="{00000000-0010-0000-0000-000013000000}" name="10. Ontwikkelingsfase"/>
    <tableColumn id="20" xr3:uid="{00000000-0010-0000-0000-000014000000}" name="11. Waar toegepast of getest?"/>
    <tableColumn id="21" xr3:uid="{00000000-0010-0000-0000-000015000000}" name="12. Welke onderbouwing is beschikbaar?"/>
    <tableColumn id="22" xr3:uid="{00000000-0010-0000-0000-000016000000}" name="13. Welke bijlagen meesturen?"/>
    <tableColumn id="23" xr3:uid="{00000000-0010-0000-0000-000017000000}" name="14. Welke hulpvraag aan het loket?"/>
    <tableColumn id="24" xr3:uid="{00000000-0010-0000-0000-000018000000}" name="15. Gewenste ondersteuning"/>
    <tableColumn id="25" xr3:uid="{00000000-0010-0000-0000-000019000000}" name="16. Betrokken partijen"/>
    <tableColumn id="26" xr3:uid="{00000000-0010-0000-0000-00001A000000}" name="17. Prioriteit aanmelding"/>
    <tableColumn id="27" xr3:uid="{00000000-0010-0000-0000-00001B000000}" name="18. Status voorbereiding"/>
    <tableColumn id="28" xr3:uid="{00000000-0010-0000-0000-00001C000000}" name="19. Formulier / website"/>
    <tableColumn id="29" xr3:uid="{00000000-0010-0000-0000-00001D000000}" name="20. Opmerking voor indien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ulierChecklistTabel" displayName="FormulierChecklistTabel" ref="A1:F14">
  <tableColumns count="6">
    <tableColumn id="1" xr3:uid="{00000000-0010-0000-0100-000001000000}" name="Rubriek formulier"/>
    <tableColumn id="2" xr3:uid="{00000000-0010-0000-0100-000002000000}" name="Vraag / veld"/>
    <tableColumn id="3" xr3:uid="{00000000-0010-0000-0100-000003000000}" name="Antwoord Kuijpers Researchfield"/>
    <tableColumn id="4" xr3:uid="{00000000-0010-0000-0100-000004000000}" name="Aanvullen door"/>
    <tableColumn id="5" xr3:uid="{00000000-0010-0000-0100-000005000000}" name="Status"/>
    <tableColumn id="6" xr3:uid="{00000000-0010-0000-0100-000006000000}" name="Opmerk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anmeldstrategieTabel" displayName="AanmeldstrategieTabel" ref="A1:F6">
  <tableColumns count="6">
    <tableColumn id="1" xr3:uid="{00000000-0010-0000-0200-000001000000}" name="Prioriteit"/>
    <tableColumn id="2" xr3:uid="{00000000-0010-0000-0200-000002000000}" name="Cluster"/>
    <tableColumn id="3" xr3:uid="{00000000-0010-0000-0200-000003000000}" name="Innovaties"/>
    <tableColumn id="4" xr3:uid="{00000000-0010-0000-0200-000004000000}" name="Waarom logisch voor loket?"/>
    <tableColumn id="5" xr3:uid="{00000000-0010-0000-0200-000005000000}" name="Aanpak indiening"/>
    <tableColumn id="6" xr3:uid="{00000000-0010-0000-0200-000006000000}" name="Eerste bewijsstukke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139E5D-4B4B-44A1-8DD8-5B1BCB639135}" name="InnovatieFormulierTabel5" displayName="InnovatieFormulierTabel5" ref="A6:W27">
  <tableColumns count="23">
    <tableColumn id="1" xr3:uid="{C7F4B7D6-5505-440A-9AEE-13E950BFAA2B}" name="Innovatie"/>
    <tableColumn id="2" xr3:uid="{D024E26B-5BDE-49BF-B55C-7160CE5DEB2A}" name="Innovatiecategorie"/>
    <tableColumn id="3" xr3:uid="{30C617A4-BED3-490C-8117-C67559181683}" name="Familiewarmte/warmteterugwinning"/>
    <tableColumn id="4" xr3:uid="{B9B438D9-F22A-4C3B-A0F0-299760205304}" name="Zonnepanelen op productielocatie"/>
    <tableColumn id="5" xr3:uid="{6DE57226-D24B-4A31-A14D-D5FBB1421862}" name="Luchtwasser"/>
    <tableColumn id="6" xr3:uid="{2789CDD4-F662-4F54-9B1A-828A78949A7D}" name="WaterSafe"/>
    <tableColumn id="7" xr3:uid="{0B6653EF-24CE-49F3-8BB3-DA31B75BBCEF}" name="Bioenergiecentrale, groengas productie"/>
    <tableColumn id="8" xr3:uid="{40D57429-A529-4371-ADD3-FC47138EBE7B}" name="Bioenergiecentrale, N2-stripper digestaat"/>
    <tableColumn id="9" xr3:uid="{591327EF-414F-4893-AB74-19D905FB9E4A}" name="Bioenergiecentrale, Renure productie"/>
    <tableColumn id="10" xr3:uid="{87EDBB87-C7AC-46DD-AFFA-21A51E164D86}" name="Bioenergiecentrale, WaterSafe"/>
    <tableColumn id="11" xr3:uid="{F4E70F4F-9375-4646-8DCC-39FCC1BAFA8D}" name="Korte keten, vermeden transport kilometers"/>
    <tableColumn id="12" xr3:uid="{AF250D56-6222-4ACE-94E7-61C5C6269070}" name="Korte keten, vermeden kruisbesmettingsrisico"/>
    <tableColumn id="13" xr3:uid="{B27C543C-8505-41ED-9F9C-9CD70C3753E7}" name="Eigen voerprogramma"/>
    <tableColumn id="14" xr3:uid="{C05450AF-9D01-4F08-A88D-27A0393EFABA}" name="Vaccinontwikkeling"/>
    <tableColumn id="15" xr3:uid="{5261D411-04BF-4090-B8A9-BFF28DF09ACD}" name="Vaccinatiemethodeontwikkeling"/>
    <tableColumn id="16" xr3:uid="{5AC4AEEB-6567-4BFA-B14B-CE69C0E7A6C1}" name="Lichtrecept"/>
    <tableColumn id="17" xr3:uid="{B9AEBC98-F9BA-4C51-91CE-E198451896A1}" name="Veterinaire analyse ontwikkeling"/>
    <tableColumn id="18" xr3:uid="{9BC218EE-DE77-418E-8C0E-634498A0763D}" name="AI-gestuurde gedragsherkenning vleeskuikens"/>
    <tableColumn id="19" xr3:uid="{A7778766-7DEC-4D91-959B-5EA3A1287CA9}" name="Welzijns&amp;gezondheidsdashboard"/>
    <tableColumn id="20" xr3:uid="{E06B98BA-C07C-4FEC-B7E9-0F74F0A4CA9E}" name="Haanmanagement"/>
    <tableColumn id="21" xr3:uid="{E7772AE7-A216-4CB5-97F2-5B7CABADF2DC}" name="Brandblustechniek"/>
    <tableColumn id="22" xr3:uid="{6EDE36A7-AC11-4D99-91CE-FB45A9309133}" name="Voedselveiligheid, 0-antibiotica gebruik"/>
    <tableColumn id="23" xr3:uid="{58867C89-B643-40F2-811E-5781ECF13380}" name="Omgevingsveiligheid, Nh3/fijnstof/geur"/>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research.wur.nl/en/projects/optimisation-of-environmental-conditions-during-the-perinatal-dev/publications/?type=%2Fdk%2Fatira%2Fpure%2Fresearchoutput%2Fresearchoutputtypes%2Fthesis%2Finternwu"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1"/>
  <sheetViews>
    <sheetView tabSelected="1" workbookViewId="0">
      <pane xSplit="1" ySplit="6" topLeftCell="V30" activePane="bottomRight" state="frozen"/>
      <selection pane="topRight" activeCell="B1" sqref="B1"/>
      <selection pane="bottomLeft" activeCell="A7" sqref="A7"/>
      <selection pane="bottomRight" activeCell="V31" sqref="V31"/>
    </sheetView>
  </sheetViews>
  <sheetFormatPr defaultRowHeight="15" x14ac:dyDescent="0.25"/>
  <cols>
    <col min="1" max="1" width="26" customWidth="1"/>
    <col min="2" max="2" width="18" customWidth="1"/>
    <col min="3" max="3" width="24" customWidth="1"/>
    <col min="4" max="4" width="38" customWidth="1"/>
    <col min="5" max="5" width="9.7109375" customWidth="1"/>
    <col min="6" max="6" width="9.42578125" customWidth="1"/>
    <col min="7" max="7" width="9.5703125" customWidth="1"/>
    <col min="8" max="8" width="6.140625" customWidth="1"/>
    <col min="9" max="9" width="11.85546875" customWidth="1"/>
    <col min="10" max="13" width="28" customWidth="1"/>
    <col min="14" max="15" width="36" customWidth="1"/>
    <col min="16" max="18" width="28" customWidth="1"/>
    <col min="19" max="20" width="34" customWidth="1"/>
    <col min="21" max="30" width="28" customWidth="1"/>
  </cols>
  <sheetData>
    <row r="1" spans="1:30" ht="18.75" x14ac:dyDescent="0.3">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spans="1:30" ht="90" x14ac:dyDescent="0.25">
      <c r="A2" s="3" t="s">
        <v>62</v>
      </c>
      <c r="B2" s="3"/>
      <c r="C2" s="3"/>
      <c r="D2" s="3"/>
      <c r="E2" s="3"/>
      <c r="F2" s="3"/>
      <c r="G2" s="3"/>
      <c r="H2" s="3"/>
      <c r="I2" s="3"/>
      <c r="J2" s="3" t="s">
        <v>63</v>
      </c>
      <c r="K2" s="3"/>
      <c r="L2" s="3"/>
      <c r="M2" s="3"/>
      <c r="N2" s="3"/>
      <c r="O2" s="3"/>
      <c r="P2" s="3"/>
      <c r="Q2" s="3"/>
      <c r="R2" s="3"/>
      <c r="S2" s="3"/>
      <c r="T2" s="3"/>
      <c r="U2" s="3"/>
      <c r="V2" s="3"/>
      <c r="W2" s="3"/>
      <c r="X2" s="3"/>
      <c r="Y2" s="3"/>
      <c r="Z2" s="3"/>
      <c r="AA2" s="3"/>
      <c r="AB2" s="3"/>
      <c r="AC2" s="3"/>
      <c r="AD2" s="3"/>
    </row>
    <row r="3" spans="1:30" ht="30" x14ac:dyDescent="0.25">
      <c r="A3" s="3" t="s">
        <v>1</v>
      </c>
      <c r="B3" s="4">
        <f ca="1">TODAY()</f>
        <v>46213</v>
      </c>
      <c r="C3" s="3"/>
      <c r="D3" s="3"/>
      <c r="E3" s="3"/>
      <c r="F3" s="3"/>
      <c r="G3" s="3"/>
      <c r="H3" s="3"/>
      <c r="I3" s="3"/>
      <c r="J3" s="3" t="s">
        <v>64</v>
      </c>
      <c r="K3" s="3" t="s">
        <v>65</v>
      </c>
      <c r="L3" s="3"/>
      <c r="M3" s="3"/>
      <c r="N3" s="3"/>
      <c r="O3" s="3"/>
      <c r="P3" s="3"/>
      <c r="Q3" s="3"/>
      <c r="R3" s="3"/>
      <c r="S3" s="3"/>
      <c r="T3" s="3"/>
      <c r="U3" s="3"/>
      <c r="V3" s="3"/>
      <c r="W3" s="3"/>
      <c r="X3" s="3"/>
      <c r="Y3" s="3"/>
      <c r="Z3" s="3"/>
      <c r="AA3" s="3"/>
      <c r="AB3" s="3"/>
      <c r="AC3" s="3"/>
      <c r="AD3" s="3"/>
    </row>
    <row r="6" spans="1:30" s="1" customFormat="1" ht="45.95" customHeight="1" x14ac:dyDescent="0.25">
      <c r="A6" s="5" t="s">
        <v>2</v>
      </c>
      <c r="B6" s="5" t="s">
        <v>3</v>
      </c>
      <c r="C6" s="5" t="s">
        <v>4</v>
      </c>
      <c r="D6" s="5" t="s">
        <v>5</v>
      </c>
      <c r="E6" s="5" t="s">
        <v>6</v>
      </c>
      <c r="F6" s="5" t="s">
        <v>7</v>
      </c>
      <c r="G6" s="5" t="s">
        <v>8</v>
      </c>
      <c r="H6" s="5" t="s">
        <v>9</v>
      </c>
      <c r="I6" s="5" t="s">
        <v>10</v>
      </c>
      <c r="J6" s="5" t="s">
        <v>66</v>
      </c>
      <c r="K6" s="5" t="s">
        <v>67</v>
      </c>
      <c r="L6" s="5" t="s">
        <v>232</v>
      </c>
      <c r="M6" s="5" t="s">
        <v>68</v>
      </c>
      <c r="N6" s="5" t="s">
        <v>69</v>
      </c>
      <c r="O6" s="5" t="s">
        <v>70</v>
      </c>
      <c r="P6" s="5" t="s">
        <v>71</v>
      </c>
      <c r="Q6" s="5" t="s">
        <v>72</v>
      </c>
      <c r="R6" s="5" t="s">
        <v>73</v>
      </c>
      <c r="S6" s="5" t="s">
        <v>74</v>
      </c>
      <c r="T6" s="5" t="s">
        <v>75</v>
      </c>
      <c r="U6" s="5" t="s">
        <v>76</v>
      </c>
      <c r="V6" s="5" t="s">
        <v>77</v>
      </c>
      <c r="W6" s="5" t="s">
        <v>78</v>
      </c>
      <c r="X6" s="5" t="s">
        <v>79</v>
      </c>
      <c r="Y6" s="5" t="s">
        <v>80</v>
      </c>
      <c r="Z6" s="5" t="s">
        <v>81</v>
      </c>
      <c r="AA6" s="5" t="s">
        <v>82</v>
      </c>
      <c r="AB6" s="5" t="s">
        <v>83</v>
      </c>
      <c r="AC6" s="5" t="s">
        <v>84</v>
      </c>
      <c r="AD6" s="5" t="s">
        <v>85</v>
      </c>
    </row>
    <row r="7" spans="1:30" ht="60" customHeight="1" x14ac:dyDescent="0.25">
      <c r="A7" s="6" t="s">
        <v>11</v>
      </c>
      <c r="B7" s="6" t="s">
        <v>12</v>
      </c>
      <c r="C7" s="6" t="s">
        <v>309</v>
      </c>
      <c r="D7" s="6" t="s">
        <v>306</v>
      </c>
      <c r="E7" s="6"/>
      <c r="F7" s="6"/>
      <c r="G7" s="6"/>
      <c r="H7" s="6"/>
      <c r="I7" s="6"/>
      <c r="J7" s="6" t="s">
        <v>86</v>
      </c>
      <c r="K7" s="6" t="s">
        <v>87</v>
      </c>
      <c r="L7" s="6" t="s">
        <v>228</v>
      </c>
      <c r="M7" s="6" t="s">
        <v>222</v>
      </c>
      <c r="N7" s="6" t="s">
        <v>305</v>
      </c>
      <c r="O7" s="6" t="s">
        <v>310</v>
      </c>
      <c r="P7" s="6" t="s">
        <v>249</v>
      </c>
      <c r="Q7" s="6" t="s">
        <v>89</v>
      </c>
      <c r="R7" s="6" t="s">
        <v>311</v>
      </c>
      <c r="S7" s="6" t="s">
        <v>91</v>
      </c>
      <c r="T7" s="6" t="s">
        <v>99</v>
      </c>
      <c r="U7" s="6" t="s">
        <v>93</v>
      </c>
      <c r="V7" s="6" t="s">
        <v>94</v>
      </c>
      <c r="W7" s="6" t="s">
        <v>259</v>
      </c>
      <c r="X7" s="6" t="s">
        <v>95</v>
      </c>
      <c r="Y7" s="6" t="s">
        <v>96</v>
      </c>
      <c r="Z7" s="6" t="s">
        <v>312</v>
      </c>
      <c r="AA7" s="6" t="s">
        <v>97</v>
      </c>
      <c r="AB7" s="6" t="s">
        <v>98</v>
      </c>
      <c r="AC7" s="6" t="s">
        <v>65</v>
      </c>
      <c r="AD7" s="7" t="s">
        <v>263</v>
      </c>
    </row>
    <row r="8" spans="1:30" ht="60" customHeight="1" x14ac:dyDescent="0.25">
      <c r="A8" s="6" t="s">
        <v>13</v>
      </c>
      <c r="B8" s="6" t="s">
        <v>307</v>
      </c>
      <c r="C8" s="6" t="s">
        <v>308</v>
      </c>
      <c r="D8" s="6" t="s">
        <v>14</v>
      </c>
      <c r="E8" s="6"/>
      <c r="F8" s="6"/>
      <c r="G8" s="6"/>
      <c r="H8" s="6"/>
      <c r="I8" s="6"/>
      <c r="J8" s="6" t="s">
        <v>86</v>
      </c>
      <c r="K8" s="6" t="s">
        <v>87</v>
      </c>
      <c r="L8" s="6" t="s">
        <v>228</v>
      </c>
      <c r="M8" s="6" t="s">
        <v>233</v>
      </c>
      <c r="N8" s="6" t="s">
        <v>14</v>
      </c>
      <c r="O8" s="6" t="s">
        <v>234</v>
      </c>
      <c r="P8" s="6" t="s">
        <v>250</v>
      </c>
      <c r="Q8" s="6" t="s">
        <v>89</v>
      </c>
      <c r="R8" s="6" t="s">
        <v>90</v>
      </c>
      <c r="S8" s="6" t="s">
        <v>91</v>
      </c>
      <c r="T8" s="6" t="s">
        <v>99</v>
      </c>
      <c r="U8" s="6" t="s">
        <v>93</v>
      </c>
      <c r="V8" s="6" t="s">
        <v>94</v>
      </c>
      <c r="W8" s="6" t="s">
        <v>259</v>
      </c>
      <c r="X8" s="6" t="s">
        <v>95</v>
      </c>
      <c r="Y8" s="6" t="s">
        <v>96</v>
      </c>
      <c r="Z8" s="6" t="s">
        <v>260</v>
      </c>
      <c r="AA8" s="6" t="s">
        <v>97</v>
      </c>
      <c r="AB8" s="6" t="s">
        <v>98</v>
      </c>
      <c r="AC8" s="6" t="s">
        <v>65</v>
      </c>
      <c r="AD8" s="7" t="s">
        <v>264</v>
      </c>
    </row>
    <row r="9" spans="1:30" ht="60" customHeight="1" x14ac:dyDescent="0.25">
      <c r="A9" s="6" t="s">
        <v>15</v>
      </c>
      <c r="B9" s="6" t="s">
        <v>12</v>
      </c>
      <c r="C9" s="6" t="s">
        <v>292</v>
      </c>
      <c r="D9" s="6" t="s">
        <v>313</v>
      </c>
      <c r="E9" s="6"/>
      <c r="F9" s="6"/>
      <c r="G9" s="6"/>
      <c r="H9" s="6"/>
      <c r="I9" s="6"/>
      <c r="J9" s="6" t="s">
        <v>86</v>
      </c>
      <c r="K9" s="6" t="s">
        <v>87</v>
      </c>
      <c r="L9" s="6" t="s">
        <v>231</v>
      </c>
      <c r="M9" s="6" t="s">
        <v>15</v>
      </c>
      <c r="N9" s="6" t="s">
        <v>313</v>
      </c>
      <c r="O9" s="6" t="s">
        <v>314</v>
      </c>
      <c r="P9" s="6" t="s">
        <v>251</v>
      </c>
      <c r="Q9" s="6" t="s">
        <v>315</v>
      </c>
      <c r="R9" s="6" t="s">
        <v>101</v>
      </c>
      <c r="S9" s="6" t="s">
        <v>91</v>
      </c>
      <c r="T9" s="6" t="s">
        <v>99</v>
      </c>
      <c r="U9" s="6" t="s">
        <v>93</v>
      </c>
      <c r="V9" s="6" t="s">
        <v>102</v>
      </c>
      <c r="W9" s="6" t="s">
        <v>259</v>
      </c>
      <c r="X9" s="6" t="s">
        <v>95</v>
      </c>
      <c r="Y9" s="6" t="s">
        <v>103</v>
      </c>
      <c r="Z9" s="6" t="s">
        <v>320</v>
      </c>
      <c r="AA9" s="6" t="s">
        <v>104</v>
      </c>
      <c r="AB9" s="6" t="s">
        <v>98</v>
      </c>
      <c r="AC9" s="6" t="s">
        <v>65</v>
      </c>
      <c r="AD9" s="7" t="s">
        <v>265</v>
      </c>
    </row>
    <row r="10" spans="1:30" ht="60" customHeight="1" x14ac:dyDescent="0.25">
      <c r="A10" s="6" t="s">
        <v>16</v>
      </c>
      <c r="B10" s="6" t="s">
        <v>12</v>
      </c>
      <c r="C10" s="6" t="s">
        <v>17</v>
      </c>
      <c r="D10" s="6" t="s">
        <v>18</v>
      </c>
      <c r="E10" s="6"/>
      <c r="F10" s="6"/>
      <c r="G10" s="6"/>
      <c r="H10" s="6"/>
      <c r="I10" s="6"/>
      <c r="J10" s="6" t="s">
        <v>86</v>
      </c>
      <c r="K10" s="6" t="s">
        <v>87</v>
      </c>
      <c r="L10" s="6" t="s">
        <v>228</v>
      </c>
      <c r="M10" s="6" t="s">
        <v>16</v>
      </c>
      <c r="N10" s="6" t="s">
        <v>319</v>
      </c>
      <c r="O10" s="6" t="s">
        <v>235</v>
      </c>
      <c r="P10" s="6" t="s">
        <v>252</v>
      </c>
      <c r="Q10" s="6" t="s">
        <v>100</v>
      </c>
      <c r="R10" s="6" t="s">
        <v>101</v>
      </c>
      <c r="S10" s="6" t="s">
        <v>91</v>
      </c>
      <c r="T10" s="6" t="s">
        <v>99</v>
      </c>
      <c r="U10" s="6" t="s">
        <v>93</v>
      </c>
      <c r="V10" s="6" t="s">
        <v>102</v>
      </c>
      <c r="W10" s="6" t="s">
        <v>259</v>
      </c>
      <c r="X10" s="6" t="s">
        <v>95</v>
      </c>
      <c r="Y10" s="6" t="s">
        <v>103</v>
      </c>
      <c r="Z10" s="6" t="s">
        <v>260</v>
      </c>
      <c r="AA10" s="6" t="s">
        <v>104</v>
      </c>
      <c r="AB10" s="6" t="s">
        <v>98</v>
      </c>
      <c r="AC10" s="6" t="s">
        <v>65</v>
      </c>
      <c r="AD10" s="7" t="s">
        <v>266</v>
      </c>
    </row>
    <row r="11" spans="1:30" ht="60" customHeight="1" x14ac:dyDescent="0.25">
      <c r="A11" s="6" t="s">
        <v>19</v>
      </c>
      <c r="B11" s="6" t="s">
        <v>12</v>
      </c>
      <c r="C11" s="6" t="s">
        <v>316</v>
      </c>
      <c r="D11" s="6" t="s">
        <v>317</v>
      </c>
      <c r="E11" s="6"/>
      <c r="F11" s="6"/>
      <c r="G11" s="6"/>
      <c r="H11" s="6"/>
      <c r="I11" s="6"/>
      <c r="J11" s="6" t="s">
        <v>86</v>
      </c>
      <c r="K11" s="6" t="s">
        <v>87</v>
      </c>
      <c r="L11" s="6" t="s">
        <v>227</v>
      </c>
      <c r="M11" s="6" t="s">
        <v>19</v>
      </c>
      <c r="N11" s="6" t="s">
        <v>20</v>
      </c>
      <c r="O11" s="6" t="s">
        <v>318</v>
      </c>
      <c r="P11" s="6" t="s">
        <v>105</v>
      </c>
      <c r="Q11" s="6" t="s">
        <v>106</v>
      </c>
      <c r="R11" s="6" t="s">
        <v>107</v>
      </c>
      <c r="S11" s="6" t="s">
        <v>91</v>
      </c>
      <c r="T11" s="6" t="s">
        <v>99</v>
      </c>
      <c r="U11" s="6" t="s">
        <v>93</v>
      </c>
      <c r="V11" s="6" t="s">
        <v>108</v>
      </c>
      <c r="W11" s="6" t="s">
        <v>259</v>
      </c>
      <c r="X11" s="6" t="s">
        <v>95</v>
      </c>
      <c r="Y11" s="6" t="s">
        <v>109</v>
      </c>
      <c r="Z11" s="6" t="s">
        <v>321</v>
      </c>
      <c r="AA11" s="6" t="s">
        <v>104</v>
      </c>
      <c r="AB11" s="6" t="s">
        <v>98</v>
      </c>
      <c r="AC11" s="6" t="s">
        <v>65</v>
      </c>
      <c r="AD11" s="7" t="s">
        <v>267</v>
      </c>
    </row>
    <row r="12" spans="1:30" ht="60" customHeight="1" x14ac:dyDescent="0.25">
      <c r="A12" s="6" t="s">
        <v>21</v>
      </c>
      <c r="B12" s="6" t="s">
        <v>12</v>
      </c>
      <c r="C12" s="6" t="s">
        <v>293</v>
      </c>
      <c r="D12" s="6" t="s">
        <v>22</v>
      </c>
      <c r="E12" s="6"/>
      <c r="F12" s="6"/>
      <c r="G12" s="6"/>
      <c r="H12" s="6"/>
      <c r="I12" s="6"/>
      <c r="J12" s="6" t="s">
        <v>86</v>
      </c>
      <c r="K12" s="6" t="s">
        <v>87</v>
      </c>
      <c r="L12" s="6" t="s">
        <v>227</v>
      </c>
      <c r="M12" s="6" t="s">
        <v>21</v>
      </c>
      <c r="N12" s="6" t="s">
        <v>22</v>
      </c>
      <c r="O12" s="6" t="s">
        <v>236</v>
      </c>
      <c r="P12" s="6" t="s">
        <v>105</v>
      </c>
      <c r="Q12" s="6" t="s">
        <v>106</v>
      </c>
      <c r="R12" s="6" t="s">
        <v>107</v>
      </c>
      <c r="S12" s="6" t="s">
        <v>91</v>
      </c>
      <c r="T12" s="6" t="s">
        <v>99</v>
      </c>
      <c r="U12" s="6" t="s">
        <v>93</v>
      </c>
      <c r="V12" s="6" t="s">
        <v>108</v>
      </c>
      <c r="W12" s="6" t="s">
        <v>259</v>
      </c>
      <c r="X12" s="6" t="s">
        <v>95</v>
      </c>
      <c r="Y12" s="6" t="s">
        <v>109</v>
      </c>
      <c r="Z12" s="6" t="s">
        <v>321</v>
      </c>
      <c r="AA12" s="6" t="s">
        <v>104</v>
      </c>
      <c r="AB12" s="6" t="s">
        <v>98</v>
      </c>
      <c r="AC12" s="6" t="s">
        <v>65</v>
      </c>
      <c r="AD12" s="7" t="s">
        <v>269</v>
      </c>
    </row>
    <row r="13" spans="1:30" ht="60" customHeight="1" x14ac:dyDescent="0.25">
      <c r="A13" s="6" t="s">
        <v>23</v>
      </c>
      <c r="B13" s="6" t="s">
        <v>12</v>
      </c>
      <c r="C13" s="6" t="s">
        <v>24</v>
      </c>
      <c r="D13" s="6" t="s">
        <v>25</v>
      </c>
      <c r="E13" s="6"/>
      <c r="F13" s="6"/>
      <c r="G13" s="6"/>
      <c r="H13" s="6"/>
      <c r="I13" s="6"/>
      <c r="J13" s="6" t="s">
        <v>86</v>
      </c>
      <c r="K13" s="6" t="s">
        <v>87</v>
      </c>
      <c r="L13" s="6" t="s">
        <v>227</v>
      </c>
      <c r="M13" s="6" t="s">
        <v>23</v>
      </c>
      <c r="N13" s="6" t="s">
        <v>25</v>
      </c>
      <c r="O13" s="6" t="s">
        <v>237</v>
      </c>
      <c r="P13" s="6" t="s">
        <v>105</v>
      </c>
      <c r="Q13" s="6" t="s">
        <v>106</v>
      </c>
      <c r="R13" s="6" t="s">
        <v>107</v>
      </c>
      <c r="S13" s="6" t="s">
        <v>91</v>
      </c>
      <c r="T13" s="6" t="s">
        <v>99</v>
      </c>
      <c r="U13" s="6" t="s">
        <v>93</v>
      </c>
      <c r="V13" s="6" t="s">
        <v>108</v>
      </c>
      <c r="W13" s="6" t="s">
        <v>259</v>
      </c>
      <c r="X13" s="6" t="s">
        <v>95</v>
      </c>
      <c r="Y13" s="6" t="s">
        <v>109</v>
      </c>
      <c r="Z13" s="6" t="s">
        <v>321</v>
      </c>
      <c r="AA13" s="6" t="s">
        <v>104</v>
      </c>
      <c r="AB13" s="6" t="s">
        <v>98</v>
      </c>
      <c r="AC13" s="6" t="s">
        <v>65</v>
      </c>
      <c r="AD13" s="7" t="s">
        <v>270</v>
      </c>
    </row>
    <row r="14" spans="1:30" ht="60" customHeight="1" x14ac:dyDescent="0.25">
      <c r="A14" s="6" t="s">
        <v>26</v>
      </c>
      <c r="B14" s="6" t="s">
        <v>12</v>
      </c>
      <c r="C14" s="6" t="s">
        <v>17</v>
      </c>
      <c r="D14" s="6" t="s">
        <v>27</v>
      </c>
      <c r="E14" s="6"/>
      <c r="F14" s="6"/>
      <c r="G14" s="6"/>
      <c r="H14" s="6"/>
      <c r="I14" s="6"/>
      <c r="J14" s="6" t="s">
        <v>86</v>
      </c>
      <c r="K14" s="6" t="s">
        <v>87</v>
      </c>
      <c r="L14" s="6" t="s">
        <v>227</v>
      </c>
      <c r="M14" s="6" t="s">
        <v>26</v>
      </c>
      <c r="N14" s="6" t="s">
        <v>27</v>
      </c>
      <c r="O14" s="6" t="s">
        <v>238</v>
      </c>
      <c r="P14" s="6" t="s">
        <v>105</v>
      </c>
      <c r="Q14" s="6" t="s">
        <v>100</v>
      </c>
      <c r="R14" s="6" t="s">
        <v>101</v>
      </c>
      <c r="S14" s="6" t="s">
        <v>91</v>
      </c>
      <c r="T14" s="6" t="s">
        <v>99</v>
      </c>
      <c r="U14" s="6" t="s">
        <v>93</v>
      </c>
      <c r="V14" s="6" t="s">
        <v>102</v>
      </c>
      <c r="W14" s="6" t="s">
        <v>259</v>
      </c>
      <c r="X14" s="6" t="s">
        <v>95</v>
      </c>
      <c r="Y14" s="6" t="s">
        <v>103</v>
      </c>
      <c r="Z14" s="6" t="s">
        <v>321</v>
      </c>
      <c r="AA14" s="6" t="s">
        <v>104</v>
      </c>
      <c r="AB14" s="6" t="s">
        <v>98</v>
      </c>
      <c r="AC14" s="6" t="s">
        <v>65</v>
      </c>
      <c r="AD14" s="7" t="s">
        <v>268</v>
      </c>
    </row>
    <row r="15" spans="1:30" ht="60" customHeight="1" x14ac:dyDescent="0.25">
      <c r="A15" s="6" t="s">
        <v>28</v>
      </c>
      <c r="B15" s="6" t="s">
        <v>29</v>
      </c>
      <c r="C15" s="6" t="s">
        <v>30</v>
      </c>
      <c r="D15" s="6" t="s">
        <v>31</v>
      </c>
      <c r="E15" s="6"/>
      <c r="F15" s="6"/>
      <c r="G15" s="6"/>
      <c r="H15" s="6"/>
      <c r="I15" s="6"/>
      <c r="J15" s="6" t="s">
        <v>86</v>
      </c>
      <c r="K15" s="6" t="s">
        <v>87</v>
      </c>
      <c r="L15" s="6" t="s">
        <v>231</v>
      </c>
      <c r="M15" s="6" t="s">
        <v>28</v>
      </c>
      <c r="N15" s="6" t="s">
        <v>31</v>
      </c>
      <c r="O15" s="6" t="s">
        <v>239</v>
      </c>
      <c r="P15" s="6" t="s">
        <v>110</v>
      </c>
      <c r="Q15" s="6" t="s">
        <v>106</v>
      </c>
      <c r="R15" s="6" t="s">
        <v>107</v>
      </c>
      <c r="S15" s="6" t="s">
        <v>91</v>
      </c>
      <c r="T15" s="6" t="s">
        <v>99</v>
      </c>
      <c r="U15" s="6" t="s">
        <v>93</v>
      </c>
      <c r="V15" s="6" t="s">
        <v>108</v>
      </c>
      <c r="W15" s="6" t="s">
        <v>259</v>
      </c>
      <c r="X15" s="6" t="s">
        <v>95</v>
      </c>
      <c r="Y15" s="6" t="s">
        <v>109</v>
      </c>
      <c r="Z15" s="6" t="s">
        <v>260</v>
      </c>
      <c r="AA15" s="6" t="s">
        <v>104</v>
      </c>
      <c r="AB15" s="6" t="s">
        <v>98</v>
      </c>
      <c r="AC15" s="6" t="s">
        <v>65</v>
      </c>
      <c r="AD15" s="7" t="s">
        <v>271</v>
      </c>
    </row>
    <row r="16" spans="1:30" ht="60" customHeight="1" x14ac:dyDescent="0.25">
      <c r="A16" s="6" t="s">
        <v>32</v>
      </c>
      <c r="B16" s="6" t="s">
        <v>29</v>
      </c>
      <c r="C16" s="6" t="s">
        <v>33</v>
      </c>
      <c r="D16" s="6" t="s">
        <v>34</v>
      </c>
      <c r="E16" s="6"/>
      <c r="F16" s="6"/>
      <c r="G16" s="6"/>
      <c r="H16" s="6"/>
      <c r="I16" s="6"/>
      <c r="J16" s="6" t="s">
        <v>86</v>
      </c>
      <c r="K16" s="6" t="s">
        <v>87</v>
      </c>
      <c r="L16" s="6" t="s">
        <v>231</v>
      </c>
      <c r="M16" s="6" t="s">
        <v>32</v>
      </c>
      <c r="N16" s="6" t="s">
        <v>34</v>
      </c>
      <c r="O16" s="6" t="s">
        <v>240</v>
      </c>
      <c r="P16" s="6" t="s">
        <v>110</v>
      </c>
      <c r="Q16" s="6" t="s">
        <v>106</v>
      </c>
      <c r="R16" s="6" t="s">
        <v>107</v>
      </c>
      <c r="S16" s="6" t="s">
        <v>91</v>
      </c>
      <c r="T16" s="6" t="s">
        <v>99</v>
      </c>
      <c r="U16" s="6" t="s">
        <v>93</v>
      </c>
      <c r="V16" s="6" t="s">
        <v>108</v>
      </c>
      <c r="W16" s="6" t="s">
        <v>259</v>
      </c>
      <c r="X16" s="6" t="s">
        <v>95</v>
      </c>
      <c r="Y16" s="6" t="s">
        <v>109</v>
      </c>
      <c r="Z16" s="6" t="s">
        <v>260</v>
      </c>
      <c r="AA16" s="6" t="s">
        <v>104</v>
      </c>
      <c r="AB16" s="6" t="s">
        <v>98</v>
      </c>
      <c r="AC16" s="6" t="s">
        <v>65</v>
      </c>
      <c r="AD16" s="7" t="s">
        <v>272</v>
      </c>
    </row>
    <row r="17" spans="1:30" ht="60" customHeight="1" x14ac:dyDescent="0.25">
      <c r="A17" s="6" t="s">
        <v>35</v>
      </c>
      <c r="B17" s="6" t="s">
        <v>29</v>
      </c>
      <c r="C17" s="6" t="s">
        <v>294</v>
      </c>
      <c r="D17" s="6" t="s">
        <v>36</v>
      </c>
      <c r="E17" s="6"/>
      <c r="F17" s="6"/>
      <c r="G17" s="6"/>
      <c r="H17" s="6"/>
      <c r="I17" s="6"/>
      <c r="J17" s="6" t="s">
        <v>86</v>
      </c>
      <c r="K17" s="6" t="s">
        <v>87</v>
      </c>
      <c r="L17" s="6" t="s">
        <v>224</v>
      </c>
      <c r="M17" s="6" t="s">
        <v>35</v>
      </c>
      <c r="N17" s="6" t="s">
        <v>36</v>
      </c>
      <c r="O17" s="6" t="s">
        <v>241</v>
      </c>
      <c r="P17" s="6" t="s">
        <v>88</v>
      </c>
      <c r="Q17" s="6" t="s">
        <v>89</v>
      </c>
      <c r="R17" s="6" t="s">
        <v>90</v>
      </c>
      <c r="S17" s="6" t="s">
        <v>91</v>
      </c>
      <c r="T17" s="6" t="s">
        <v>99</v>
      </c>
      <c r="U17" s="6" t="s">
        <v>93</v>
      </c>
      <c r="V17" s="6" t="s">
        <v>94</v>
      </c>
      <c r="W17" s="6" t="s">
        <v>259</v>
      </c>
      <c r="X17" s="6" t="s">
        <v>95</v>
      </c>
      <c r="Y17" s="6" t="s">
        <v>96</v>
      </c>
      <c r="Z17" s="6" t="s">
        <v>322</v>
      </c>
      <c r="AA17" s="6" t="s">
        <v>97</v>
      </c>
      <c r="AB17" s="6" t="s">
        <v>98</v>
      </c>
      <c r="AC17" s="6" t="s">
        <v>65</v>
      </c>
      <c r="AD17" s="7" t="s">
        <v>273</v>
      </c>
    </row>
    <row r="18" spans="1:30" ht="60" customHeight="1" x14ac:dyDescent="0.25">
      <c r="A18" s="6" t="s">
        <v>37</v>
      </c>
      <c r="B18" s="6" t="s">
        <v>38</v>
      </c>
      <c r="C18" s="6" t="s">
        <v>295</v>
      </c>
      <c r="D18" s="6" t="s">
        <v>40</v>
      </c>
      <c r="E18" s="6"/>
      <c r="F18" s="6"/>
      <c r="G18" s="6"/>
      <c r="H18" s="6"/>
      <c r="I18" s="6"/>
      <c r="J18" s="6" t="s">
        <v>86</v>
      </c>
      <c r="K18" s="6" t="s">
        <v>87</v>
      </c>
      <c r="L18" s="6" t="s">
        <v>224</v>
      </c>
      <c r="M18" s="6" t="s">
        <v>37</v>
      </c>
      <c r="N18" s="6" t="s">
        <v>40</v>
      </c>
      <c r="O18" s="6" t="s">
        <v>242</v>
      </c>
      <c r="P18" s="6" t="s">
        <v>88</v>
      </c>
      <c r="Q18" s="6" t="s">
        <v>111</v>
      </c>
      <c r="R18" s="6" t="s">
        <v>112</v>
      </c>
      <c r="S18" s="6" t="s">
        <v>91</v>
      </c>
      <c r="T18" s="6" t="s">
        <v>99</v>
      </c>
      <c r="U18" s="6" t="s">
        <v>93</v>
      </c>
      <c r="V18" s="6" t="s">
        <v>113</v>
      </c>
      <c r="W18" s="6" t="s">
        <v>259</v>
      </c>
      <c r="X18" s="6" t="s">
        <v>95</v>
      </c>
      <c r="Y18" s="6" t="s">
        <v>96</v>
      </c>
      <c r="Z18" s="6" t="s">
        <v>323</v>
      </c>
      <c r="AA18" s="6" t="s">
        <v>97</v>
      </c>
      <c r="AB18" s="6" t="s">
        <v>98</v>
      </c>
      <c r="AC18" s="6" t="s">
        <v>65</v>
      </c>
      <c r="AD18" s="7" t="s">
        <v>274</v>
      </c>
    </row>
    <row r="19" spans="1:30" ht="60" customHeight="1" x14ac:dyDescent="0.25">
      <c r="A19" s="6" t="s">
        <v>41</v>
      </c>
      <c r="B19" s="6" t="s">
        <v>38</v>
      </c>
      <c r="C19" s="6" t="s">
        <v>295</v>
      </c>
      <c r="D19" s="6" t="s">
        <v>42</v>
      </c>
      <c r="E19" s="6"/>
      <c r="F19" s="6"/>
      <c r="G19" s="6"/>
      <c r="H19" s="6"/>
      <c r="I19" s="6"/>
      <c r="J19" s="6" t="s">
        <v>86</v>
      </c>
      <c r="K19" s="6" t="s">
        <v>87</v>
      </c>
      <c r="L19" s="6" t="s">
        <v>225</v>
      </c>
      <c r="M19" s="6" t="s">
        <v>41</v>
      </c>
      <c r="N19" s="6" t="s">
        <v>42</v>
      </c>
      <c r="O19" s="6" t="s">
        <v>243</v>
      </c>
      <c r="P19" s="6" t="s">
        <v>88</v>
      </c>
      <c r="Q19" s="6" t="s">
        <v>111</v>
      </c>
      <c r="R19" s="6" t="s">
        <v>112</v>
      </c>
      <c r="S19" s="6" t="s">
        <v>91</v>
      </c>
      <c r="T19" s="6" t="s">
        <v>99</v>
      </c>
      <c r="U19" s="6" t="s">
        <v>93</v>
      </c>
      <c r="V19" s="6" t="s">
        <v>113</v>
      </c>
      <c r="W19" s="6" t="s">
        <v>259</v>
      </c>
      <c r="X19" s="6" t="s">
        <v>95</v>
      </c>
      <c r="Y19" s="6" t="s">
        <v>96</v>
      </c>
      <c r="Z19" s="6" t="s">
        <v>324</v>
      </c>
      <c r="AA19" s="6" t="s">
        <v>97</v>
      </c>
      <c r="AB19" s="6" t="s">
        <v>98</v>
      </c>
      <c r="AC19" s="6" t="s">
        <v>65</v>
      </c>
      <c r="AD19" s="7" t="s">
        <v>274</v>
      </c>
    </row>
    <row r="20" spans="1:30" ht="60" customHeight="1" x14ac:dyDescent="0.25">
      <c r="A20" s="6" t="s">
        <v>253</v>
      </c>
      <c r="B20" s="6" t="s">
        <v>38</v>
      </c>
      <c r="C20" s="6" t="s">
        <v>296</v>
      </c>
      <c r="D20" s="6" t="s">
        <v>254</v>
      </c>
      <c r="E20" s="6"/>
      <c r="F20" s="6"/>
      <c r="G20" s="6"/>
      <c r="H20" s="6"/>
      <c r="I20" s="6"/>
      <c r="J20" s="6" t="s">
        <v>86</v>
      </c>
      <c r="K20" s="6" t="s">
        <v>87</v>
      </c>
      <c r="L20" s="6" t="s">
        <v>224</v>
      </c>
      <c r="M20" s="6" t="s">
        <v>253</v>
      </c>
      <c r="N20" s="6" t="s">
        <v>255</v>
      </c>
      <c r="O20" s="6" t="s">
        <v>256</v>
      </c>
      <c r="P20" s="6" t="s">
        <v>257</v>
      </c>
      <c r="Q20" s="6" t="s">
        <v>111</v>
      </c>
      <c r="R20" s="6" t="s">
        <v>112</v>
      </c>
      <c r="S20" s="6" t="s">
        <v>91</v>
      </c>
      <c r="T20" s="6" t="s">
        <v>99</v>
      </c>
      <c r="U20" s="6" t="s">
        <v>93</v>
      </c>
      <c r="V20" s="6" t="s">
        <v>258</v>
      </c>
      <c r="W20" s="6" t="s">
        <v>259</v>
      </c>
      <c r="X20" s="6" t="s">
        <v>95</v>
      </c>
      <c r="Y20" s="6" t="s">
        <v>96</v>
      </c>
      <c r="Z20" s="6" t="s">
        <v>325</v>
      </c>
      <c r="AA20" s="6" t="s">
        <v>97</v>
      </c>
      <c r="AB20" s="6" t="s">
        <v>98</v>
      </c>
      <c r="AC20" s="6" t="s">
        <v>65</v>
      </c>
      <c r="AD20" s="7" t="s">
        <v>275</v>
      </c>
    </row>
    <row r="21" spans="1:30" ht="60" customHeight="1" x14ac:dyDescent="0.25">
      <c r="A21" s="6" t="s">
        <v>43</v>
      </c>
      <c r="B21" s="6" t="s">
        <v>38</v>
      </c>
      <c r="C21" s="6" t="s">
        <v>39</v>
      </c>
      <c r="D21" s="6" t="s">
        <v>44</v>
      </c>
      <c r="E21" s="6"/>
      <c r="F21" s="6"/>
      <c r="G21" s="6"/>
      <c r="H21" s="6"/>
      <c r="I21" s="6"/>
      <c r="J21" s="6" t="s">
        <v>86</v>
      </c>
      <c r="K21" s="6" t="s">
        <v>87</v>
      </c>
      <c r="L21" s="6" t="s">
        <v>224</v>
      </c>
      <c r="M21" s="6" t="s">
        <v>43</v>
      </c>
      <c r="N21" s="6" t="s">
        <v>44</v>
      </c>
      <c r="O21" s="6" t="s">
        <v>244</v>
      </c>
      <c r="P21" s="6" t="s">
        <v>115</v>
      </c>
      <c r="Q21" s="6" t="s">
        <v>116</v>
      </c>
      <c r="R21" s="6" t="s">
        <v>117</v>
      </c>
      <c r="S21" s="6" t="s">
        <v>91</v>
      </c>
      <c r="T21" s="6" t="s">
        <v>99</v>
      </c>
      <c r="U21" s="6" t="s">
        <v>93</v>
      </c>
      <c r="V21" s="6" t="s">
        <v>118</v>
      </c>
      <c r="W21" s="6" t="s">
        <v>259</v>
      </c>
      <c r="X21" s="6" t="s">
        <v>95</v>
      </c>
      <c r="Y21" s="6" t="s">
        <v>119</v>
      </c>
      <c r="Z21" s="6" t="s">
        <v>326</v>
      </c>
      <c r="AA21" s="6" t="s">
        <v>104</v>
      </c>
      <c r="AB21" s="6" t="s">
        <v>98</v>
      </c>
      <c r="AC21" s="6" t="s">
        <v>65</v>
      </c>
      <c r="AD21" s="7" t="s">
        <v>274</v>
      </c>
    </row>
    <row r="22" spans="1:30" ht="60" customHeight="1" x14ac:dyDescent="0.25">
      <c r="A22" s="6" t="s">
        <v>45</v>
      </c>
      <c r="B22" s="6" t="s">
        <v>38</v>
      </c>
      <c r="C22" s="6" t="s">
        <v>46</v>
      </c>
      <c r="D22" s="6" t="s">
        <v>47</v>
      </c>
      <c r="E22" s="6"/>
      <c r="F22" s="6"/>
      <c r="G22" s="6"/>
      <c r="H22" s="6"/>
      <c r="I22" s="6"/>
      <c r="J22" s="6" t="s">
        <v>86</v>
      </c>
      <c r="K22" s="6" t="s">
        <v>87</v>
      </c>
      <c r="L22" s="6" t="s">
        <v>224</v>
      </c>
      <c r="M22" s="6" t="s">
        <v>45</v>
      </c>
      <c r="N22" s="6" t="s">
        <v>47</v>
      </c>
      <c r="O22" s="6" t="s">
        <v>245</v>
      </c>
      <c r="P22" s="6" t="s">
        <v>115</v>
      </c>
      <c r="Q22" s="6" t="s">
        <v>116</v>
      </c>
      <c r="R22" s="6" t="s">
        <v>117</v>
      </c>
      <c r="S22" s="6" t="s">
        <v>91</v>
      </c>
      <c r="T22" s="6" t="s">
        <v>92</v>
      </c>
      <c r="U22" s="6" t="s">
        <v>93</v>
      </c>
      <c r="V22" s="6" t="s">
        <v>118</v>
      </c>
      <c r="W22" s="6" t="s">
        <v>259</v>
      </c>
      <c r="X22" s="6" t="s">
        <v>95</v>
      </c>
      <c r="Y22" s="6" t="s">
        <v>119</v>
      </c>
      <c r="Z22" s="6" t="s">
        <v>261</v>
      </c>
      <c r="AA22" s="6" t="s">
        <v>104</v>
      </c>
      <c r="AB22" s="6" t="s">
        <v>98</v>
      </c>
      <c r="AC22" s="6" t="s">
        <v>65</v>
      </c>
      <c r="AD22" s="7" t="s">
        <v>276</v>
      </c>
    </row>
    <row r="23" spans="1:30" ht="60" customHeight="1" x14ac:dyDescent="0.25">
      <c r="A23" s="6" t="s">
        <v>342</v>
      </c>
      <c r="B23" s="6" t="s">
        <v>341</v>
      </c>
      <c r="C23" s="6" t="s">
        <v>343</v>
      </c>
      <c r="D23" s="6" t="s">
        <v>344</v>
      </c>
      <c r="E23" s="6"/>
      <c r="F23" s="6"/>
      <c r="G23" s="6"/>
      <c r="H23" s="6"/>
      <c r="I23" s="6"/>
      <c r="J23" s="6" t="s">
        <v>86</v>
      </c>
      <c r="K23" s="6" t="s">
        <v>345</v>
      </c>
      <c r="L23" s="6" t="s">
        <v>345</v>
      </c>
      <c r="M23" s="6" t="s">
        <v>346</v>
      </c>
      <c r="N23" s="6" t="s">
        <v>347</v>
      </c>
      <c r="O23" s="6" t="s">
        <v>348</v>
      </c>
      <c r="P23" s="6" t="s">
        <v>349</v>
      </c>
      <c r="Q23" s="6" t="s">
        <v>116</v>
      </c>
      <c r="R23" s="6" t="s">
        <v>350</v>
      </c>
      <c r="S23" s="6" t="s">
        <v>91</v>
      </c>
      <c r="T23" s="6" t="s">
        <v>92</v>
      </c>
      <c r="U23" s="6" t="s">
        <v>93</v>
      </c>
      <c r="V23" s="6" t="s">
        <v>118</v>
      </c>
      <c r="W23" s="6" t="s">
        <v>259</v>
      </c>
      <c r="X23" s="6" t="s">
        <v>95</v>
      </c>
      <c r="Y23" s="6" t="s">
        <v>119</v>
      </c>
      <c r="Z23" s="6" t="s">
        <v>327</v>
      </c>
      <c r="AA23" s="6" t="s">
        <v>104</v>
      </c>
      <c r="AB23" s="6" t="s">
        <v>98</v>
      </c>
      <c r="AC23" s="6" t="s">
        <v>65</v>
      </c>
      <c r="AD23" s="7" t="s">
        <v>276</v>
      </c>
    </row>
    <row r="24" spans="1:30" ht="60" customHeight="1" x14ac:dyDescent="0.25">
      <c r="A24" s="6" t="s">
        <v>48</v>
      </c>
      <c r="B24" s="6" t="s">
        <v>38</v>
      </c>
      <c r="C24" s="6" t="s">
        <v>49</v>
      </c>
      <c r="D24" s="6" t="s">
        <v>50</v>
      </c>
      <c r="E24" s="6"/>
      <c r="F24" s="6"/>
      <c r="G24" s="6"/>
      <c r="H24" s="6"/>
      <c r="I24" s="6"/>
      <c r="J24" s="6" t="s">
        <v>86</v>
      </c>
      <c r="K24" s="6" t="s">
        <v>87</v>
      </c>
      <c r="L24" s="6" t="s">
        <v>224</v>
      </c>
      <c r="M24" s="6" t="s">
        <v>48</v>
      </c>
      <c r="N24" s="6" t="s">
        <v>50</v>
      </c>
      <c r="O24" s="6" t="s">
        <v>246</v>
      </c>
      <c r="P24" s="6" t="s">
        <v>120</v>
      </c>
      <c r="Q24" s="6" t="s">
        <v>116</v>
      </c>
      <c r="R24" s="6" t="s">
        <v>117</v>
      </c>
      <c r="S24" s="6" t="s">
        <v>91</v>
      </c>
      <c r="T24" s="6" t="s">
        <v>92</v>
      </c>
      <c r="U24" s="6" t="s">
        <v>93</v>
      </c>
      <c r="V24" s="6" t="s">
        <v>118</v>
      </c>
      <c r="W24" s="6" t="s">
        <v>259</v>
      </c>
      <c r="X24" s="6" t="s">
        <v>95</v>
      </c>
      <c r="Y24" s="6" t="s">
        <v>119</v>
      </c>
      <c r="Z24" s="6" t="s">
        <v>327</v>
      </c>
      <c r="AA24" s="6" t="s">
        <v>104</v>
      </c>
      <c r="AB24" s="6" t="s">
        <v>98</v>
      </c>
      <c r="AC24" s="6" t="s">
        <v>65</v>
      </c>
      <c r="AD24" s="7" t="s">
        <v>276</v>
      </c>
    </row>
    <row r="25" spans="1:30" ht="60" customHeight="1" x14ac:dyDescent="0.25">
      <c r="A25" s="6" t="s">
        <v>51</v>
      </c>
      <c r="B25" s="6" t="s">
        <v>38</v>
      </c>
      <c r="C25" s="6" t="s">
        <v>297</v>
      </c>
      <c r="D25" s="6" t="s">
        <v>52</v>
      </c>
      <c r="E25" s="6"/>
      <c r="F25" s="6"/>
      <c r="G25" s="6"/>
      <c r="H25" s="6"/>
      <c r="I25" s="6"/>
      <c r="J25" s="6" t="s">
        <v>86</v>
      </c>
      <c r="K25" s="6" t="s">
        <v>87</v>
      </c>
      <c r="L25" s="6" t="s">
        <v>226</v>
      </c>
      <c r="M25" s="6" t="s">
        <v>51</v>
      </c>
      <c r="N25" s="6" t="s">
        <v>52</v>
      </c>
      <c r="O25" s="6" t="s">
        <v>301</v>
      </c>
      <c r="P25" s="6" t="s">
        <v>88</v>
      </c>
      <c r="Q25" s="6" t="s">
        <v>111</v>
      </c>
      <c r="R25" s="6" t="s">
        <v>302</v>
      </c>
      <c r="S25" s="6" t="s">
        <v>303</v>
      </c>
      <c r="T25" s="6" t="s">
        <v>99</v>
      </c>
      <c r="U25" s="6" t="s">
        <v>93</v>
      </c>
      <c r="V25" s="6" t="s">
        <v>304</v>
      </c>
      <c r="W25" s="6" t="s">
        <v>259</v>
      </c>
      <c r="X25" s="6" t="s">
        <v>95</v>
      </c>
      <c r="Y25" s="6" t="s">
        <v>114</v>
      </c>
      <c r="Z25" s="6" t="s">
        <v>328</v>
      </c>
      <c r="AA25" s="6" t="s">
        <v>97</v>
      </c>
      <c r="AB25" s="6" t="s">
        <v>98</v>
      </c>
      <c r="AC25" s="6" t="s">
        <v>65</v>
      </c>
      <c r="AD25" s="7" t="s">
        <v>277</v>
      </c>
    </row>
    <row r="26" spans="1:30" ht="60" customHeight="1" x14ac:dyDescent="0.25">
      <c r="A26" s="6" t="s">
        <v>53</v>
      </c>
      <c r="B26" s="6" t="s">
        <v>298</v>
      </c>
      <c r="C26" s="6" t="s">
        <v>299</v>
      </c>
      <c r="D26" s="6" t="s">
        <v>300</v>
      </c>
      <c r="E26" s="6"/>
      <c r="F26" s="6"/>
      <c r="G26" s="6"/>
      <c r="H26" s="6"/>
      <c r="I26" s="6"/>
      <c r="J26" s="6" t="s">
        <v>121</v>
      </c>
      <c r="K26" s="6" t="s">
        <v>87</v>
      </c>
      <c r="L26" s="6" t="s">
        <v>224</v>
      </c>
      <c r="M26" s="6" t="s">
        <v>53</v>
      </c>
      <c r="N26" s="6" t="s">
        <v>55</v>
      </c>
      <c r="O26" s="6" t="s">
        <v>122</v>
      </c>
      <c r="P26" s="6" t="s">
        <v>88</v>
      </c>
      <c r="Q26" s="6" t="s">
        <v>123</v>
      </c>
      <c r="R26" s="6" t="s">
        <v>124</v>
      </c>
      <c r="S26" s="6" t="s">
        <v>91</v>
      </c>
      <c r="T26" s="6" t="s">
        <v>99</v>
      </c>
      <c r="U26" s="6" t="s">
        <v>93</v>
      </c>
      <c r="V26" s="6" t="s">
        <v>94</v>
      </c>
      <c r="W26" s="6" t="s">
        <v>259</v>
      </c>
      <c r="X26" s="6" t="s">
        <v>95</v>
      </c>
      <c r="Y26" s="6" t="s">
        <v>125</v>
      </c>
      <c r="Z26" s="6" t="s">
        <v>329</v>
      </c>
      <c r="AA26" s="6" t="s">
        <v>126</v>
      </c>
      <c r="AB26" s="6" t="s">
        <v>98</v>
      </c>
      <c r="AC26" s="6" t="s">
        <v>65</v>
      </c>
      <c r="AD26" s="7" t="s">
        <v>278</v>
      </c>
    </row>
    <row r="27" spans="1:30" ht="60" customHeight="1" x14ac:dyDescent="0.25">
      <c r="A27" s="6" t="s">
        <v>56</v>
      </c>
      <c r="B27" s="6" t="s">
        <v>54</v>
      </c>
      <c r="C27" s="6" t="s">
        <v>57</v>
      </c>
      <c r="D27" s="6" t="s">
        <v>58</v>
      </c>
      <c r="E27" s="6"/>
      <c r="F27" s="6"/>
      <c r="G27" s="6"/>
      <c r="H27" s="6"/>
      <c r="I27" s="6"/>
      <c r="J27" s="6" t="s">
        <v>86</v>
      </c>
      <c r="K27" s="6" t="s">
        <v>87</v>
      </c>
      <c r="L27" s="6" t="s">
        <v>231</v>
      </c>
      <c r="M27" s="6" t="s">
        <v>56</v>
      </c>
      <c r="N27" s="6" t="s">
        <v>58</v>
      </c>
      <c r="O27" s="6" t="s">
        <v>247</v>
      </c>
      <c r="P27" s="6" t="s">
        <v>88</v>
      </c>
      <c r="Q27" s="6" t="s">
        <v>116</v>
      </c>
      <c r="R27" s="6" t="s">
        <v>117</v>
      </c>
      <c r="S27" s="6" t="s">
        <v>91</v>
      </c>
      <c r="T27" s="6" t="s">
        <v>99</v>
      </c>
      <c r="U27" s="6" t="s">
        <v>93</v>
      </c>
      <c r="V27" s="6" t="s">
        <v>118</v>
      </c>
      <c r="W27" s="6" t="s">
        <v>259</v>
      </c>
      <c r="X27" s="6" t="s">
        <v>95</v>
      </c>
      <c r="Y27" s="6" t="s">
        <v>119</v>
      </c>
      <c r="Z27" s="6" t="s">
        <v>260</v>
      </c>
      <c r="AA27" s="6" t="s">
        <v>104</v>
      </c>
      <c r="AB27" s="6" t="s">
        <v>98</v>
      </c>
      <c r="AC27" s="6" t="s">
        <v>65</v>
      </c>
      <c r="AD27" s="7" t="s">
        <v>279</v>
      </c>
    </row>
    <row r="28" spans="1:30" ht="60" customHeight="1" x14ac:dyDescent="0.25">
      <c r="A28" s="6" t="s">
        <v>59</v>
      </c>
      <c r="B28" s="6" t="s">
        <v>54</v>
      </c>
      <c r="C28" s="6" t="s">
        <v>60</v>
      </c>
      <c r="D28" s="6" t="s">
        <v>61</v>
      </c>
      <c r="E28" s="6"/>
      <c r="F28" s="6"/>
      <c r="G28" s="6"/>
      <c r="H28" s="6"/>
      <c r="I28" s="6"/>
      <c r="J28" s="6" t="s">
        <v>86</v>
      </c>
      <c r="K28" s="6" t="s">
        <v>87</v>
      </c>
      <c r="L28" s="6" t="s">
        <v>224</v>
      </c>
      <c r="M28" s="6" t="s">
        <v>59</v>
      </c>
      <c r="N28" s="6" t="s">
        <v>61</v>
      </c>
      <c r="O28" s="6" t="s">
        <v>248</v>
      </c>
      <c r="P28" s="6" t="s">
        <v>88</v>
      </c>
      <c r="Q28" s="6" t="s">
        <v>100</v>
      </c>
      <c r="R28" s="6" t="s">
        <v>101</v>
      </c>
      <c r="S28" s="6" t="s">
        <v>91</v>
      </c>
      <c r="T28" s="6" t="s">
        <v>92</v>
      </c>
      <c r="U28" s="6" t="s">
        <v>93</v>
      </c>
      <c r="V28" s="6" t="s">
        <v>102</v>
      </c>
      <c r="W28" s="6" t="s">
        <v>259</v>
      </c>
      <c r="X28" s="6" t="s">
        <v>95</v>
      </c>
      <c r="Y28" s="6" t="s">
        <v>103</v>
      </c>
      <c r="Z28" s="6" t="s">
        <v>260</v>
      </c>
      <c r="AA28" s="6" t="s">
        <v>104</v>
      </c>
      <c r="AB28" s="6" t="s">
        <v>98</v>
      </c>
      <c r="AC28" s="6" t="s">
        <v>65</v>
      </c>
      <c r="AD28" s="7" t="s">
        <v>279</v>
      </c>
    </row>
    <row r="29" spans="1:30" ht="60" customHeight="1" x14ac:dyDescent="0.25">
      <c r="A29" s="6" t="s">
        <v>281</v>
      </c>
      <c r="B29" s="6" t="s">
        <v>38</v>
      </c>
      <c r="C29" s="6" t="s">
        <v>289</v>
      </c>
      <c r="D29" s="6" t="s">
        <v>280</v>
      </c>
      <c r="E29" s="6"/>
      <c r="F29" s="6"/>
      <c r="G29" s="6"/>
      <c r="H29" s="6"/>
      <c r="I29" s="6"/>
      <c r="J29" s="6" t="s">
        <v>86</v>
      </c>
      <c r="K29" s="6" t="s">
        <v>87</v>
      </c>
      <c r="L29" s="6" t="s">
        <v>228</v>
      </c>
      <c r="M29" s="6" t="s">
        <v>32</v>
      </c>
      <c r="N29" s="6" t="s">
        <v>282</v>
      </c>
      <c r="O29" s="6" t="s">
        <v>290</v>
      </c>
      <c r="P29" s="6" t="s">
        <v>291</v>
      </c>
      <c r="Q29" s="6" t="s">
        <v>123</v>
      </c>
      <c r="R29" s="6" t="s">
        <v>283</v>
      </c>
      <c r="S29" s="6" t="s">
        <v>284</v>
      </c>
      <c r="T29" s="6" t="s">
        <v>285</v>
      </c>
      <c r="U29" s="6" t="s">
        <v>93</v>
      </c>
      <c r="V29" s="6" t="s">
        <v>286</v>
      </c>
      <c r="W29" s="6" t="s">
        <v>259</v>
      </c>
      <c r="X29" s="6" t="s">
        <v>95</v>
      </c>
      <c r="Y29" s="6" t="s">
        <v>287</v>
      </c>
      <c r="Z29" s="6" t="s">
        <v>288</v>
      </c>
      <c r="AA29" s="6" t="s">
        <v>104</v>
      </c>
      <c r="AB29" s="6" t="s">
        <v>98</v>
      </c>
      <c r="AC29" s="6" t="s">
        <v>65</v>
      </c>
      <c r="AD29" s="7" t="s">
        <v>279</v>
      </c>
    </row>
    <row r="30" spans="1:30" ht="180" x14ac:dyDescent="0.25">
      <c r="A30" s="6" t="s">
        <v>330</v>
      </c>
      <c r="B30" s="6" t="s">
        <v>331</v>
      </c>
      <c r="C30" s="6" t="s">
        <v>351</v>
      </c>
      <c r="D30" s="6" t="s">
        <v>332</v>
      </c>
      <c r="E30" s="6"/>
      <c r="F30" s="6"/>
      <c r="G30" s="6"/>
      <c r="H30" s="6"/>
      <c r="I30" s="6"/>
      <c r="J30" s="6" t="s">
        <v>86</v>
      </c>
      <c r="K30" s="6" t="s">
        <v>355</v>
      </c>
      <c r="L30" s="6" t="s">
        <v>228</v>
      </c>
      <c r="M30" s="6" t="s">
        <v>333</v>
      </c>
      <c r="N30" s="6" t="s">
        <v>334</v>
      </c>
      <c r="O30" s="6" t="s">
        <v>335</v>
      </c>
      <c r="P30" s="6" t="s">
        <v>336</v>
      </c>
      <c r="Q30" s="6" t="s">
        <v>337</v>
      </c>
      <c r="R30" s="6" t="s">
        <v>338</v>
      </c>
      <c r="S30" s="6" t="s">
        <v>339</v>
      </c>
      <c r="T30" s="6" t="s">
        <v>285</v>
      </c>
      <c r="U30" s="6" t="s">
        <v>93</v>
      </c>
      <c r="V30" s="8" t="s">
        <v>286</v>
      </c>
      <c r="W30" s="6" t="s">
        <v>259</v>
      </c>
      <c r="X30" s="6" t="s">
        <v>95</v>
      </c>
      <c r="Y30" s="6" t="s">
        <v>340</v>
      </c>
      <c r="Z30" s="6" t="s">
        <v>288</v>
      </c>
      <c r="AA30" s="6" t="s">
        <v>104</v>
      </c>
      <c r="AB30" s="6" t="s">
        <v>98</v>
      </c>
      <c r="AC30" s="6" t="s">
        <v>65</v>
      </c>
      <c r="AD30" s="7" t="s">
        <v>279</v>
      </c>
    </row>
    <row r="31" spans="1:30" ht="165" x14ac:dyDescent="0.25">
      <c r="A31" s="6" t="s">
        <v>352</v>
      </c>
      <c r="B31" s="6" t="s">
        <v>331</v>
      </c>
      <c r="C31" s="6" t="s">
        <v>353</v>
      </c>
      <c r="D31" s="6" t="s">
        <v>354</v>
      </c>
      <c r="E31" s="6"/>
      <c r="F31" s="6"/>
      <c r="G31" s="6"/>
      <c r="H31" s="6"/>
      <c r="I31" s="6"/>
      <c r="J31" s="6" t="s">
        <v>86</v>
      </c>
      <c r="K31" s="6" t="s">
        <v>87</v>
      </c>
      <c r="L31" s="6" t="s">
        <v>226</v>
      </c>
      <c r="M31" s="6" t="s">
        <v>32</v>
      </c>
      <c r="N31" s="6" t="s">
        <v>334</v>
      </c>
      <c r="O31" s="6" t="s">
        <v>357</v>
      </c>
      <c r="P31" s="6" t="s">
        <v>356</v>
      </c>
      <c r="Q31" s="6" t="s">
        <v>337</v>
      </c>
      <c r="R31" s="6" t="s">
        <v>358</v>
      </c>
      <c r="S31" s="6" t="s">
        <v>359</v>
      </c>
      <c r="T31" s="6" t="s">
        <v>285</v>
      </c>
      <c r="U31" s="6" t="s">
        <v>93</v>
      </c>
      <c r="V31" s="8" t="s">
        <v>102</v>
      </c>
      <c r="W31" s="6" t="s">
        <v>259</v>
      </c>
      <c r="X31" s="6" t="s">
        <v>95</v>
      </c>
      <c r="Y31" s="6" t="s">
        <v>340</v>
      </c>
      <c r="Z31" s="6" t="s">
        <v>288</v>
      </c>
      <c r="AA31" s="6" t="s">
        <v>104</v>
      </c>
      <c r="AB31" s="6" t="s">
        <v>98</v>
      </c>
      <c r="AC31" s="6" t="s">
        <v>65</v>
      </c>
      <c r="AD31" s="7" t="s">
        <v>279</v>
      </c>
    </row>
  </sheetData>
  <dataValidations count="4">
    <dataValidation type="list" sqref="J7:J31" xr:uid="{00000000-0002-0000-0000-000000000000}">
      <formula1>"Ja, waarschijnlijk,Te toetsen,Nee"</formula1>
    </dataValidation>
    <dataValidation type="list" sqref="T7:T31" xr:uid="{00000000-0002-0000-0000-000001000000}">
      <formula1>"Idee,Onderzoek / pilot / doorontwikkeling,Praktijktoepassing / doorontwikkeling,Opschaling"</formula1>
    </dataValidation>
    <dataValidation type="list" sqref="AA7:AA31" xr:uid="{00000000-0002-0000-0000-000002000000}">
      <formula1>"Hoog,Middel,Laag"</formula1>
    </dataValidation>
    <dataValidation type="list" sqref="AB7:AB31" xr:uid="{00000000-0002-0000-0000-000003000000}">
      <formula1>"Concept - aanvullen,Gereed voor indiening,Ingediend,Wachten op reactie"</formula1>
    </dataValidation>
  </dataValidations>
  <hyperlinks>
    <hyperlink ref="V30" r:id="rId1" xr:uid="{0D51DA89-A560-4473-9E2D-B14945D852E6}"/>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C66BE57C-9AC5-43A9-AB7F-5C0BCBD72C29}">
          <x14:formula1>
            <xm:f>Lijsten!$B$3:$B$10</xm:f>
          </x14:formula1>
          <xm:sqref>L7:L22 L24:L31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heetViews>
  <sheetFormatPr defaultRowHeight="15" x14ac:dyDescent="0.25"/>
  <cols>
    <col min="1" max="1" width="20" customWidth="1"/>
    <col min="2" max="2" width="32" customWidth="1"/>
    <col min="3" max="3" width="42" customWidth="1"/>
    <col min="4" max="4" width="18" customWidth="1"/>
    <col min="5" max="5" width="16" customWidth="1"/>
    <col min="6" max="6" width="42" customWidth="1"/>
  </cols>
  <sheetData>
    <row r="1" spans="1:6" ht="42" customHeight="1" x14ac:dyDescent="0.25">
      <c r="A1" s="5" t="s">
        <v>127</v>
      </c>
      <c r="B1" s="5" t="s">
        <v>128</v>
      </c>
      <c r="C1" s="5" t="s">
        <v>129</v>
      </c>
      <c r="D1" s="5" t="s">
        <v>130</v>
      </c>
      <c r="E1" s="5" t="s">
        <v>131</v>
      </c>
      <c r="F1" s="5" t="s">
        <v>132</v>
      </c>
    </row>
    <row r="2" spans="1:6" ht="42" customHeight="1" x14ac:dyDescent="0.25">
      <c r="A2" s="6" t="s">
        <v>133</v>
      </c>
      <c r="B2" s="6" t="s">
        <v>134</v>
      </c>
      <c r="C2" s="6" t="s">
        <v>135</v>
      </c>
      <c r="D2" s="6" t="s">
        <v>136</v>
      </c>
      <c r="E2" s="6" t="s">
        <v>137</v>
      </c>
      <c r="F2" s="6" t="s">
        <v>138</v>
      </c>
    </row>
    <row r="3" spans="1:6" ht="42" customHeight="1" x14ac:dyDescent="0.25">
      <c r="A3" s="6" t="s">
        <v>139</v>
      </c>
      <c r="B3" s="6" t="s">
        <v>140</v>
      </c>
      <c r="C3" s="6"/>
      <c r="D3" s="6" t="s">
        <v>136</v>
      </c>
      <c r="E3" s="6" t="s">
        <v>141</v>
      </c>
      <c r="F3" s="6" t="s">
        <v>142</v>
      </c>
    </row>
    <row r="4" spans="1:6" ht="42" customHeight="1" x14ac:dyDescent="0.25">
      <c r="A4" s="6" t="s">
        <v>143</v>
      </c>
      <c r="B4" s="6" t="s">
        <v>144</v>
      </c>
      <c r="C4" s="6" t="s">
        <v>87</v>
      </c>
      <c r="D4" s="6" t="s">
        <v>136</v>
      </c>
      <c r="E4" s="6" t="s">
        <v>145</v>
      </c>
      <c r="F4" s="6" t="s">
        <v>146</v>
      </c>
    </row>
    <row r="5" spans="1:6" ht="42" customHeight="1" x14ac:dyDescent="0.25">
      <c r="A5" s="6" t="s">
        <v>2</v>
      </c>
      <c r="B5" s="6" t="s">
        <v>147</v>
      </c>
      <c r="C5" s="6" t="s">
        <v>148</v>
      </c>
      <c r="D5" s="6" t="s">
        <v>149</v>
      </c>
      <c r="E5" s="6" t="s">
        <v>145</v>
      </c>
      <c r="F5" s="6" t="s">
        <v>150</v>
      </c>
    </row>
    <row r="6" spans="1:6" ht="42" customHeight="1" x14ac:dyDescent="0.25">
      <c r="A6" s="6" t="s">
        <v>2</v>
      </c>
      <c r="B6" s="6" t="s">
        <v>151</v>
      </c>
      <c r="C6" s="6" t="s">
        <v>152</v>
      </c>
      <c r="D6" s="6" t="s">
        <v>149</v>
      </c>
      <c r="E6" s="6" t="s">
        <v>145</v>
      </c>
      <c r="F6" s="6" t="s">
        <v>153</v>
      </c>
    </row>
    <row r="7" spans="1:6" ht="42" customHeight="1" x14ac:dyDescent="0.25">
      <c r="A7" s="6" t="s">
        <v>154</v>
      </c>
      <c r="B7" s="6" t="s">
        <v>155</v>
      </c>
      <c r="C7" s="6" t="s">
        <v>156</v>
      </c>
      <c r="D7" s="6" t="s">
        <v>149</v>
      </c>
      <c r="E7" s="6" t="s">
        <v>145</v>
      </c>
      <c r="F7" s="6" t="s">
        <v>157</v>
      </c>
    </row>
    <row r="8" spans="1:6" ht="42" customHeight="1" x14ac:dyDescent="0.25">
      <c r="A8" s="6" t="s">
        <v>158</v>
      </c>
      <c r="B8" s="6" t="s">
        <v>159</v>
      </c>
      <c r="C8" s="6" t="s">
        <v>160</v>
      </c>
      <c r="D8" s="6" t="s">
        <v>149</v>
      </c>
      <c r="E8" s="6" t="s">
        <v>145</v>
      </c>
      <c r="F8" s="6" t="s">
        <v>161</v>
      </c>
    </row>
    <row r="9" spans="1:6" ht="42" customHeight="1" x14ac:dyDescent="0.25">
      <c r="A9" s="6" t="s">
        <v>162</v>
      </c>
      <c r="B9" s="6" t="s">
        <v>163</v>
      </c>
      <c r="C9" s="6" t="s">
        <v>164</v>
      </c>
      <c r="D9" s="6" t="s">
        <v>149</v>
      </c>
      <c r="E9" s="6" t="s">
        <v>145</v>
      </c>
      <c r="F9" s="6" t="s">
        <v>165</v>
      </c>
    </row>
    <row r="10" spans="1:6" ht="42" customHeight="1" x14ac:dyDescent="0.25">
      <c r="A10" s="6" t="s">
        <v>166</v>
      </c>
      <c r="B10" s="6" t="s">
        <v>167</v>
      </c>
      <c r="C10" s="6" t="s">
        <v>168</v>
      </c>
      <c r="D10" s="6" t="s">
        <v>169</v>
      </c>
      <c r="E10" s="6" t="s">
        <v>137</v>
      </c>
      <c r="F10" s="6" t="s">
        <v>170</v>
      </c>
    </row>
    <row r="11" spans="1:6" ht="42" customHeight="1" x14ac:dyDescent="0.25">
      <c r="A11" s="6" t="s">
        <v>171</v>
      </c>
      <c r="B11" s="6" t="s">
        <v>172</v>
      </c>
      <c r="C11" s="6" t="s">
        <v>173</v>
      </c>
      <c r="D11" s="6" t="s">
        <v>136</v>
      </c>
      <c r="E11" s="6" t="s">
        <v>145</v>
      </c>
      <c r="F11" s="6" t="s">
        <v>174</v>
      </c>
    </row>
    <row r="12" spans="1:6" ht="42" customHeight="1" x14ac:dyDescent="0.25">
      <c r="A12" s="6" t="s">
        <v>175</v>
      </c>
      <c r="B12" s="6" t="s">
        <v>176</v>
      </c>
      <c r="C12" s="6" t="s">
        <v>177</v>
      </c>
      <c r="D12" s="6" t="s">
        <v>149</v>
      </c>
      <c r="E12" s="6" t="s">
        <v>145</v>
      </c>
      <c r="F12" s="6" t="s">
        <v>178</v>
      </c>
    </row>
    <row r="13" spans="1:6" ht="42" customHeight="1" x14ac:dyDescent="0.25">
      <c r="A13" s="6" t="s">
        <v>179</v>
      </c>
      <c r="B13" s="6" t="s">
        <v>180</v>
      </c>
      <c r="C13" s="6" t="s">
        <v>181</v>
      </c>
      <c r="D13" s="6" t="s">
        <v>149</v>
      </c>
      <c r="E13" s="6" t="s">
        <v>137</v>
      </c>
      <c r="F13" s="6" t="s">
        <v>182</v>
      </c>
    </row>
    <row r="14" spans="1:6" ht="42" customHeight="1" x14ac:dyDescent="0.25">
      <c r="A14" s="6" t="s">
        <v>64</v>
      </c>
      <c r="B14" s="6" t="s">
        <v>183</v>
      </c>
      <c r="C14" s="6" t="s">
        <v>65</v>
      </c>
      <c r="D14" s="6" t="s">
        <v>149</v>
      </c>
      <c r="E14" s="6" t="s">
        <v>184</v>
      </c>
      <c r="F14" s="6" t="s">
        <v>185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heetViews>
  <sheetFormatPr defaultRowHeight="15" x14ac:dyDescent="0.25"/>
  <cols>
    <col min="1" max="1" width="20" customWidth="1"/>
    <col min="2" max="2" width="32" customWidth="1"/>
    <col min="3" max="3" width="42" customWidth="1"/>
    <col min="4" max="4" width="18" customWidth="1"/>
    <col min="5" max="5" width="16" customWidth="1"/>
    <col min="6" max="6" width="42" customWidth="1"/>
  </cols>
  <sheetData>
    <row r="1" spans="1:6" ht="42" customHeight="1" x14ac:dyDescent="0.25">
      <c r="A1" s="5" t="s">
        <v>186</v>
      </c>
      <c r="B1" s="5" t="s">
        <v>187</v>
      </c>
      <c r="C1" s="5" t="s">
        <v>188</v>
      </c>
      <c r="D1" s="5" t="s">
        <v>189</v>
      </c>
      <c r="E1" s="5" t="s">
        <v>190</v>
      </c>
      <c r="F1" s="5" t="s">
        <v>191</v>
      </c>
    </row>
    <row r="2" spans="1:6" ht="42" customHeight="1" x14ac:dyDescent="0.25">
      <c r="A2" s="6" t="s">
        <v>192</v>
      </c>
      <c r="B2" s="6" t="s">
        <v>193</v>
      </c>
      <c r="C2" s="6" t="s">
        <v>194</v>
      </c>
      <c r="D2" s="6" t="s">
        <v>195</v>
      </c>
      <c r="E2" s="6" t="s">
        <v>196</v>
      </c>
      <c r="F2" s="6" t="s">
        <v>197</v>
      </c>
    </row>
    <row r="3" spans="1:6" ht="42" customHeight="1" x14ac:dyDescent="0.25">
      <c r="A3" s="6" t="s">
        <v>198</v>
      </c>
      <c r="B3" s="6" t="s">
        <v>199</v>
      </c>
      <c r="C3" s="6" t="s">
        <v>200</v>
      </c>
      <c r="D3" s="6" t="s">
        <v>201</v>
      </c>
      <c r="E3" s="6" t="s">
        <v>202</v>
      </c>
      <c r="F3" s="6" t="s">
        <v>203</v>
      </c>
    </row>
    <row r="4" spans="1:6" ht="42" customHeight="1" x14ac:dyDescent="0.25">
      <c r="A4" s="6" t="s">
        <v>204</v>
      </c>
      <c r="B4" s="6" t="s">
        <v>205</v>
      </c>
      <c r="C4" s="6" t="s">
        <v>206</v>
      </c>
      <c r="D4" s="6" t="s">
        <v>207</v>
      </c>
      <c r="E4" s="6" t="s">
        <v>208</v>
      </c>
      <c r="F4" s="6" t="s">
        <v>209</v>
      </c>
    </row>
    <row r="5" spans="1:6" ht="42" customHeight="1" x14ac:dyDescent="0.25">
      <c r="A5" s="6" t="s">
        <v>210</v>
      </c>
      <c r="B5" s="6" t="s">
        <v>211</v>
      </c>
      <c r="C5" s="6" t="s">
        <v>212</v>
      </c>
      <c r="D5" s="6" t="s">
        <v>213</v>
      </c>
      <c r="E5" s="6" t="s">
        <v>214</v>
      </c>
      <c r="F5" s="6" t="s">
        <v>215</v>
      </c>
    </row>
    <row r="6" spans="1:6" ht="42" customHeight="1" x14ac:dyDescent="0.25">
      <c r="A6" s="6" t="s">
        <v>216</v>
      </c>
      <c r="B6" s="6" t="s">
        <v>217</v>
      </c>
      <c r="C6" s="6" t="s">
        <v>218</v>
      </c>
      <c r="D6" s="6" t="s">
        <v>219</v>
      </c>
      <c r="E6" s="6" t="s">
        <v>220</v>
      </c>
      <c r="F6" s="6" t="s">
        <v>221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CD9D-F1CB-4B32-8608-7BA2537EE22D}">
  <dimension ref="B2:B10"/>
  <sheetViews>
    <sheetView workbookViewId="0">
      <selection activeCell="B2" sqref="B2"/>
    </sheetView>
  </sheetViews>
  <sheetFormatPr defaultRowHeight="15" x14ac:dyDescent="0.25"/>
  <cols>
    <col min="2" max="2" width="35" customWidth="1"/>
  </cols>
  <sheetData>
    <row r="2" spans="2:2" x14ac:dyDescent="0.25">
      <c r="B2" t="s">
        <v>223</v>
      </c>
    </row>
    <row r="3" spans="2:2" x14ac:dyDescent="0.25">
      <c r="B3" t="s">
        <v>224</v>
      </c>
    </row>
    <row r="4" spans="2:2" x14ac:dyDescent="0.25">
      <c r="B4" t="s">
        <v>225</v>
      </c>
    </row>
    <row r="5" spans="2:2" x14ac:dyDescent="0.25">
      <c r="B5" t="s">
        <v>226</v>
      </c>
    </row>
    <row r="6" spans="2:2" x14ac:dyDescent="0.25">
      <c r="B6" t="s">
        <v>227</v>
      </c>
    </row>
    <row r="7" spans="2:2" x14ac:dyDescent="0.25">
      <c r="B7" t="s">
        <v>228</v>
      </c>
    </row>
    <row r="8" spans="2:2" x14ac:dyDescent="0.25">
      <c r="B8" t="s">
        <v>229</v>
      </c>
    </row>
    <row r="9" spans="2:2" x14ac:dyDescent="0.25">
      <c r="B9" t="s">
        <v>230</v>
      </c>
    </row>
    <row r="10" spans="2:2" x14ac:dyDescent="0.25">
      <c r="B10" t="s">
        <v>231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7341-F173-479C-9D88-BFCCF14A78C1}">
  <dimension ref="A1:W27"/>
  <sheetViews>
    <sheetView topLeftCell="A2" workbookViewId="0">
      <pane xSplit="2" ySplit="5" topLeftCell="C7" activePane="bottomRight" state="frozen"/>
      <selection activeCell="A2" sqref="A2"/>
      <selection pane="topRight" activeCell="C2" sqref="C2"/>
      <selection pane="bottomLeft" activeCell="A7" sqref="A7"/>
      <selection pane="bottomRight" activeCell="C7" sqref="C7"/>
    </sheetView>
  </sheetViews>
  <sheetFormatPr defaultRowHeight="15" x14ac:dyDescent="0.25"/>
  <cols>
    <col min="1" max="1" width="26" customWidth="1"/>
    <col min="2" max="2" width="18" customWidth="1"/>
    <col min="7" max="7" width="14.140625" customWidth="1"/>
    <col min="8" max="8" width="13" customWidth="1"/>
    <col min="9" max="9" width="14" customWidth="1"/>
    <col min="10" max="10" width="12.42578125" customWidth="1"/>
    <col min="11" max="11" width="11.85546875" customWidth="1"/>
    <col min="12" max="12" width="13.5703125" customWidth="1"/>
    <col min="13" max="13" width="12" customWidth="1"/>
  </cols>
  <sheetData>
    <row r="1" spans="1:23" ht="18.75" x14ac:dyDescent="0.3">
      <c r="A1" s="2" t="s">
        <v>0</v>
      </c>
      <c r="B1" s="2"/>
    </row>
    <row r="2" spans="1:23" ht="90" x14ac:dyDescent="0.25">
      <c r="A2" s="3" t="s">
        <v>62</v>
      </c>
      <c r="B2" s="3"/>
    </row>
    <row r="3" spans="1:23" x14ac:dyDescent="0.25">
      <c r="A3" s="3" t="s">
        <v>1</v>
      </c>
      <c r="B3" s="4">
        <f ca="1">TODAY()</f>
        <v>46213</v>
      </c>
    </row>
    <row r="6" spans="1:23" s="1" customFormat="1" ht="45.95" customHeight="1" x14ac:dyDescent="0.25">
      <c r="A6" s="5" t="s">
        <v>2</v>
      </c>
      <c r="B6" s="5" t="s">
        <v>3</v>
      </c>
      <c r="C6" s="6" t="s">
        <v>11</v>
      </c>
      <c r="D6" s="6" t="s">
        <v>13</v>
      </c>
      <c r="E6" s="6" t="s">
        <v>15</v>
      </c>
      <c r="F6" s="6" t="s">
        <v>16</v>
      </c>
      <c r="G6" s="6" t="s">
        <v>19</v>
      </c>
      <c r="H6" s="6" t="s">
        <v>21</v>
      </c>
      <c r="I6" s="6" t="s">
        <v>23</v>
      </c>
      <c r="J6" s="6" t="s">
        <v>26</v>
      </c>
      <c r="K6" s="6" t="s">
        <v>28</v>
      </c>
      <c r="L6" s="6" t="s">
        <v>32</v>
      </c>
      <c r="M6" s="6" t="s">
        <v>35</v>
      </c>
      <c r="N6" s="6" t="s">
        <v>37</v>
      </c>
      <c r="O6" s="6" t="s">
        <v>41</v>
      </c>
      <c r="P6" s="6" t="s">
        <v>253</v>
      </c>
      <c r="Q6" s="6" t="s">
        <v>43</v>
      </c>
      <c r="R6" s="6" t="s">
        <v>45</v>
      </c>
      <c r="S6" s="6" t="s">
        <v>48</v>
      </c>
      <c r="T6" s="6" t="s">
        <v>51</v>
      </c>
      <c r="U6" s="6" t="s">
        <v>53</v>
      </c>
      <c r="V6" s="6" t="s">
        <v>56</v>
      </c>
      <c r="W6" s="6" t="s">
        <v>59</v>
      </c>
    </row>
    <row r="7" spans="1:23" ht="60" customHeight="1" x14ac:dyDescent="0.25">
      <c r="A7" s="6" t="s">
        <v>11</v>
      </c>
      <c r="B7" s="6" t="s">
        <v>12</v>
      </c>
      <c r="C7" t="s">
        <v>262</v>
      </c>
      <c r="D7">
        <v>2</v>
      </c>
      <c r="E7">
        <v>1</v>
      </c>
      <c r="F7">
        <v>2</v>
      </c>
      <c r="G7">
        <v>2</v>
      </c>
      <c r="H7">
        <v>0</v>
      </c>
      <c r="I7">
        <v>0</v>
      </c>
      <c r="J7">
        <v>0</v>
      </c>
      <c r="K7">
        <v>0</v>
      </c>
      <c r="L7">
        <v>0</v>
      </c>
      <c r="M7">
        <v>0</v>
      </c>
      <c r="N7">
        <v>0</v>
      </c>
      <c r="O7">
        <v>0</v>
      </c>
      <c r="P7">
        <v>0</v>
      </c>
      <c r="Q7">
        <v>0</v>
      </c>
      <c r="R7">
        <v>0</v>
      </c>
      <c r="S7">
        <v>2</v>
      </c>
      <c r="T7">
        <v>0</v>
      </c>
      <c r="U7">
        <v>0</v>
      </c>
      <c r="V7">
        <v>0</v>
      </c>
      <c r="W7">
        <v>0</v>
      </c>
    </row>
    <row r="8" spans="1:23" ht="60" customHeight="1" x14ac:dyDescent="0.25">
      <c r="A8" s="6" t="s">
        <v>13</v>
      </c>
      <c r="B8" s="6" t="s">
        <v>12</v>
      </c>
      <c r="D8" t="s">
        <v>262</v>
      </c>
      <c r="E8">
        <v>2</v>
      </c>
      <c r="F8">
        <v>2</v>
      </c>
      <c r="G8">
        <v>0</v>
      </c>
      <c r="H8">
        <v>0</v>
      </c>
      <c r="I8">
        <v>0</v>
      </c>
      <c r="J8">
        <v>0</v>
      </c>
      <c r="K8">
        <v>0</v>
      </c>
      <c r="L8">
        <v>0</v>
      </c>
      <c r="M8">
        <v>0</v>
      </c>
      <c r="N8">
        <v>0</v>
      </c>
      <c r="O8">
        <v>0</v>
      </c>
      <c r="P8">
        <v>2</v>
      </c>
      <c r="Q8">
        <v>0</v>
      </c>
      <c r="R8">
        <v>0</v>
      </c>
      <c r="S8">
        <v>0</v>
      </c>
      <c r="T8">
        <v>0</v>
      </c>
      <c r="U8">
        <v>0</v>
      </c>
      <c r="V8">
        <v>0</v>
      </c>
      <c r="W8">
        <v>0</v>
      </c>
    </row>
    <row r="9" spans="1:23" ht="60" customHeight="1" x14ac:dyDescent="0.25">
      <c r="A9" s="6" t="s">
        <v>15</v>
      </c>
      <c r="B9" s="6" t="s">
        <v>12</v>
      </c>
      <c r="E9" t="s">
        <v>262</v>
      </c>
      <c r="F9">
        <v>1</v>
      </c>
      <c r="G9">
        <v>0</v>
      </c>
      <c r="H9">
        <v>1</v>
      </c>
      <c r="I9">
        <v>2</v>
      </c>
      <c r="J9">
        <v>1</v>
      </c>
      <c r="K9">
        <v>0</v>
      </c>
      <c r="L9">
        <v>0</v>
      </c>
      <c r="M9">
        <v>0</v>
      </c>
      <c r="N9">
        <v>0</v>
      </c>
      <c r="O9">
        <v>0</v>
      </c>
      <c r="P9">
        <v>0</v>
      </c>
      <c r="Q9">
        <v>0</v>
      </c>
      <c r="R9">
        <v>0</v>
      </c>
      <c r="S9">
        <v>0</v>
      </c>
      <c r="T9">
        <v>0</v>
      </c>
      <c r="U9">
        <v>0</v>
      </c>
      <c r="V9">
        <v>2</v>
      </c>
      <c r="W9">
        <v>1</v>
      </c>
    </row>
    <row r="10" spans="1:23" ht="60" customHeight="1" x14ac:dyDescent="0.25">
      <c r="A10" s="6" t="s">
        <v>16</v>
      </c>
      <c r="B10" s="6" t="s">
        <v>12</v>
      </c>
      <c r="E10">
        <v>1</v>
      </c>
      <c r="F10" t="s">
        <v>262</v>
      </c>
      <c r="G10">
        <v>2</v>
      </c>
      <c r="H10">
        <v>1</v>
      </c>
      <c r="I10">
        <v>1</v>
      </c>
      <c r="J10">
        <v>1</v>
      </c>
      <c r="K10">
        <v>0</v>
      </c>
      <c r="L10">
        <v>0</v>
      </c>
      <c r="M10">
        <v>0</v>
      </c>
      <c r="N10">
        <v>0</v>
      </c>
      <c r="O10">
        <v>0</v>
      </c>
      <c r="P10">
        <v>0</v>
      </c>
      <c r="Q10">
        <v>0</v>
      </c>
      <c r="R10">
        <v>0</v>
      </c>
      <c r="S10">
        <v>0</v>
      </c>
      <c r="T10">
        <v>0</v>
      </c>
      <c r="U10">
        <v>2</v>
      </c>
      <c r="V10">
        <v>0</v>
      </c>
      <c r="W10">
        <v>2</v>
      </c>
    </row>
    <row r="11" spans="1:23" ht="60" customHeight="1" x14ac:dyDescent="0.25">
      <c r="A11" s="6" t="s">
        <v>19</v>
      </c>
      <c r="B11" s="6" t="s">
        <v>12</v>
      </c>
      <c r="G11" t="s">
        <v>262</v>
      </c>
      <c r="H11">
        <v>1</v>
      </c>
      <c r="I11">
        <v>1</v>
      </c>
      <c r="J11">
        <v>1</v>
      </c>
      <c r="K11">
        <v>1</v>
      </c>
      <c r="L11">
        <v>2</v>
      </c>
      <c r="M11">
        <v>2</v>
      </c>
      <c r="N11">
        <v>0</v>
      </c>
      <c r="O11">
        <v>0</v>
      </c>
      <c r="P11">
        <v>0</v>
      </c>
      <c r="Q11">
        <v>0</v>
      </c>
      <c r="R11">
        <v>0</v>
      </c>
      <c r="S11">
        <v>0</v>
      </c>
      <c r="T11">
        <v>0</v>
      </c>
      <c r="U11">
        <v>0</v>
      </c>
      <c r="V11">
        <v>0</v>
      </c>
      <c r="W11">
        <v>0</v>
      </c>
    </row>
    <row r="12" spans="1:23" ht="60" customHeight="1" x14ac:dyDescent="0.25">
      <c r="A12" s="6" t="s">
        <v>21</v>
      </c>
      <c r="B12" s="6" t="s">
        <v>12</v>
      </c>
      <c r="G12">
        <v>1</v>
      </c>
      <c r="H12" t="s">
        <v>262</v>
      </c>
      <c r="I12">
        <v>1</v>
      </c>
      <c r="J12">
        <v>1</v>
      </c>
      <c r="K12">
        <v>2</v>
      </c>
      <c r="L12">
        <v>2</v>
      </c>
      <c r="M12">
        <v>0</v>
      </c>
      <c r="N12">
        <v>0</v>
      </c>
      <c r="O12">
        <v>0</v>
      </c>
      <c r="P12">
        <v>0</v>
      </c>
      <c r="Q12">
        <v>0</v>
      </c>
      <c r="R12">
        <v>0</v>
      </c>
      <c r="S12">
        <v>0</v>
      </c>
      <c r="T12">
        <v>0</v>
      </c>
      <c r="U12">
        <v>0</v>
      </c>
      <c r="V12">
        <v>0</v>
      </c>
      <c r="W12">
        <v>2</v>
      </c>
    </row>
    <row r="13" spans="1:23" ht="60" customHeight="1" x14ac:dyDescent="0.25">
      <c r="A13" s="6" t="s">
        <v>23</v>
      </c>
      <c r="B13" s="6" t="s">
        <v>12</v>
      </c>
      <c r="I13" t="s">
        <v>262</v>
      </c>
      <c r="J13">
        <v>1</v>
      </c>
      <c r="K13">
        <v>2</v>
      </c>
      <c r="L13">
        <v>2</v>
      </c>
      <c r="M13">
        <v>0</v>
      </c>
      <c r="N13">
        <v>0</v>
      </c>
      <c r="O13">
        <v>0</v>
      </c>
      <c r="P13">
        <v>0</v>
      </c>
      <c r="Q13">
        <v>0</v>
      </c>
      <c r="R13">
        <v>0</v>
      </c>
      <c r="S13">
        <v>0</v>
      </c>
      <c r="T13">
        <v>0</v>
      </c>
      <c r="U13">
        <v>0</v>
      </c>
      <c r="V13">
        <v>0</v>
      </c>
      <c r="W13">
        <v>2</v>
      </c>
    </row>
    <row r="14" spans="1:23" ht="60" customHeight="1" x14ac:dyDescent="0.25">
      <c r="A14" s="6" t="s">
        <v>26</v>
      </c>
      <c r="B14" s="6" t="s">
        <v>12</v>
      </c>
      <c r="J14" t="s">
        <v>262</v>
      </c>
      <c r="K14">
        <v>1</v>
      </c>
      <c r="L14">
        <v>2</v>
      </c>
      <c r="M14">
        <v>0</v>
      </c>
      <c r="N14">
        <v>0</v>
      </c>
      <c r="O14">
        <v>0</v>
      </c>
      <c r="P14">
        <v>0</v>
      </c>
      <c r="Q14">
        <v>0</v>
      </c>
      <c r="R14">
        <v>0</v>
      </c>
      <c r="S14">
        <v>0</v>
      </c>
      <c r="T14">
        <v>0</v>
      </c>
      <c r="U14">
        <v>0</v>
      </c>
      <c r="V14">
        <v>0</v>
      </c>
      <c r="W14">
        <v>2</v>
      </c>
    </row>
    <row r="15" spans="1:23" ht="60" customHeight="1" x14ac:dyDescent="0.25">
      <c r="A15" s="6" t="s">
        <v>28</v>
      </c>
      <c r="B15" s="6" t="s">
        <v>29</v>
      </c>
      <c r="K15" t="s">
        <v>262</v>
      </c>
      <c r="L15">
        <v>1</v>
      </c>
      <c r="M15">
        <v>2</v>
      </c>
      <c r="N15">
        <v>0</v>
      </c>
      <c r="O15">
        <v>0</v>
      </c>
      <c r="P15">
        <v>0</v>
      </c>
      <c r="Q15">
        <v>0</v>
      </c>
      <c r="R15">
        <v>0</v>
      </c>
      <c r="S15">
        <v>0</v>
      </c>
      <c r="T15">
        <v>0</v>
      </c>
      <c r="U15">
        <v>0</v>
      </c>
      <c r="V15">
        <v>1</v>
      </c>
      <c r="W15">
        <v>1</v>
      </c>
    </row>
    <row r="16" spans="1:23" ht="60" customHeight="1" x14ac:dyDescent="0.25">
      <c r="A16" s="6" t="s">
        <v>32</v>
      </c>
      <c r="B16" s="6" t="s">
        <v>29</v>
      </c>
      <c r="L16" t="s">
        <v>262</v>
      </c>
      <c r="M16">
        <v>2</v>
      </c>
      <c r="N16">
        <v>0</v>
      </c>
      <c r="O16">
        <v>0</v>
      </c>
      <c r="P16">
        <v>0</v>
      </c>
      <c r="Q16">
        <v>0</v>
      </c>
      <c r="R16">
        <v>0</v>
      </c>
      <c r="S16">
        <v>0</v>
      </c>
      <c r="T16">
        <v>0</v>
      </c>
      <c r="U16">
        <v>0</v>
      </c>
      <c r="V16">
        <v>1</v>
      </c>
      <c r="W16">
        <v>1</v>
      </c>
    </row>
    <row r="17" spans="1:23" ht="60" customHeight="1" x14ac:dyDescent="0.25">
      <c r="A17" s="6" t="s">
        <v>35</v>
      </c>
      <c r="B17" s="6" t="s">
        <v>29</v>
      </c>
      <c r="M17" t="s">
        <v>262</v>
      </c>
      <c r="N17">
        <v>0</v>
      </c>
      <c r="O17">
        <v>0</v>
      </c>
      <c r="P17">
        <v>0</v>
      </c>
      <c r="Q17">
        <v>0</v>
      </c>
      <c r="R17">
        <v>2</v>
      </c>
      <c r="S17">
        <v>2</v>
      </c>
      <c r="T17">
        <v>0</v>
      </c>
      <c r="U17">
        <v>0</v>
      </c>
      <c r="V17">
        <v>1</v>
      </c>
      <c r="W17">
        <v>2</v>
      </c>
    </row>
    <row r="18" spans="1:23" ht="60" customHeight="1" x14ac:dyDescent="0.25">
      <c r="A18" s="6" t="s">
        <v>37</v>
      </c>
      <c r="B18" s="6" t="s">
        <v>38</v>
      </c>
      <c r="N18" t="s">
        <v>262</v>
      </c>
      <c r="O18">
        <v>2</v>
      </c>
      <c r="P18">
        <v>0</v>
      </c>
      <c r="Q18">
        <v>2</v>
      </c>
      <c r="R18">
        <v>0</v>
      </c>
      <c r="S18">
        <v>2</v>
      </c>
      <c r="T18">
        <v>0</v>
      </c>
      <c r="U18">
        <v>0</v>
      </c>
      <c r="V18">
        <v>1</v>
      </c>
      <c r="W18">
        <v>1</v>
      </c>
    </row>
    <row r="19" spans="1:23" ht="60" customHeight="1" x14ac:dyDescent="0.25">
      <c r="A19" s="6" t="s">
        <v>41</v>
      </c>
      <c r="B19" s="6" t="s">
        <v>38</v>
      </c>
      <c r="O19" t="s">
        <v>262</v>
      </c>
      <c r="P19">
        <v>2</v>
      </c>
      <c r="Q19">
        <v>2</v>
      </c>
      <c r="R19">
        <v>0</v>
      </c>
      <c r="S19">
        <v>2</v>
      </c>
      <c r="T19">
        <v>0</v>
      </c>
      <c r="U19">
        <v>0</v>
      </c>
      <c r="V19">
        <v>1</v>
      </c>
      <c r="W19">
        <v>1</v>
      </c>
    </row>
    <row r="20" spans="1:23" ht="60" customHeight="1" x14ac:dyDescent="0.25">
      <c r="A20" s="6" t="s">
        <v>253</v>
      </c>
      <c r="B20" s="6" t="s">
        <v>38</v>
      </c>
      <c r="P20" t="s">
        <v>262</v>
      </c>
      <c r="Q20">
        <v>0</v>
      </c>
      <c r="R20">
        <v>2</v>
      </c>
      <c r="S20">
        <v>2</v>
      </c>
      <c r="T20">
        <v>2</v>
      </c>
      <c r="U20">
        <v>0</v>
      </c>
      <c r="V20">
        <v>1</v>
      </c>
      <c r="W20">
        <v>2</v>
      </c>
    </row>
    <row r="21" spans="1:23" ht="60" customHeight="1" x14ac:dyDescent="0.25">
      <c r="A21" s="6" t="s">
        <v>43</v>
      </c>
      <c r="B21" s="6" t="s">
        <v>38</v>
      </c>
      <c r="Q21" t="s">
        <v>262</v>
      </c>
      <c r="R21">
        <v>0</v>
      </c>
      <c r="S21">
        <v>2</v>
      </c>
      <c r="T21">
        <v>0</v>
      </c>
      <c r="U21">
        <v>0</v>
      </c>
      <c r="V21">
        <v>1</v>
      </c>
      <c r="W21">
        <v>2</v>
      </c>
    </row>
    <row r="22" spans="1:23" ht="60" customHeight="1" x14ac:dyDescent="0.25">
      <c r="A22" s="6" t="s">
        <v>45</v>
      </c>
      <c r="B22" s="6" t="s">
        <v>38</v>
      </c>
      <c r="R22" t="s">
        <v>262</v>
      </c>
      <c r="S22">
        <v>1</v>
      </c>
      <c r="T22">
        <v>0</v>
      </c>
      <c r="U22">
        <v>0</v>
      </c>
      <c r="V22">
        <v>2</v>
      </c>
      <c r="W22">
        <v>2</v>
      </c>
    </row>
    <row r="23" spans="1:23" ht="60" customHeight="1" x14ac:dyDescent="0.25">
      <c r="A23" s="6" t="s">
        <v>48</v>
      </c>
      <c r="B23" s="6" t="s">
        <v>38</v>
      </c>
      <c r="S23" t="s">
        <v>262</v>
      </c>
      <c r="T23">
        <v>0</v>
      </c>
      <c r="U23">
        <v>0</v>
      </c>
      <c r="V23">
        <v>1</v>
      </c>
      <c r="W23">
        <v>2</v>
      </c>
    </row>
    <row r="24" spans="1:23" ht="60" customHeight="1" x14ac:dyDescent="0.25">
      <c r="A24" s="6" t="s">
        <v>51</v>
      </c>
      <c r="B24" s="6" t="s">
        <v>38</v>
      </c>
      <c r="T24" t="s">
        <v>262</v>
      </c>
      <c r="U24">
        <v>0</v>
      </c>
      <c r="V24">
        <v>2</v>
      </c>
      <c r="W24">
        <v>2</v>
      </c>
    </row>
    <row r="25" spans="1:23" ht="60" customHeight="1" x14ac:dyDescent="0.25">
      <c r="A25" s="6" t="s">
        <v>53</v>
      </c>
      <c r="B25" s="6" t="s">
        <v>54</v>
      </c>
      <c r="U25" t="s">
        <v>262</v>
      </c>
      <c r="V25">
        <v>2</v>
      </c>
      <c r="W25">
        <v>1</v>
      </c>
    </row>
    <row r="26" spans="1:23" ht="60" customHeight="1" x14ac:dyDescent="0.25">
      <c r="A26" s="6" t="s">
        <v>56</v>
      </c>
      <c r="B26" s="6" t="s">
        <v>54</v>
      </c>
      <c r="V26" t="s">
        <v>262</v>
      </c>
      <c r="W26">
        <v>1</v>
      </c>
    </row>
    <row r="27" spans="1:23" ht="60" customHeight="1" x14ac:dyDescent="0.25">
      <c r="A27" s="6" t="s">
        <v>59</v>
      </c>
      <c r="B27" s="6" t="s">
        <v>54</v>
      </c>
      <c r="W27" t="s">
        <v>262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Tabel</vt:lpstr>
      <vt:lpstr>FormulierChecklist</vt:lpstr>
      <vt:lpstr>Aanmeldstrategie</vt:lpstr>
      <vt:lpstr>Lijsten</vt:lpstr>
      <vt:lpstr>Kruistabel voor visualisatie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info kuijperskip</cp:lastModifiedBy>
  <dcterms:created xsi:type="dcterms:W3CDTF">2026-07-03T09:00:47Z</dcterms:created>
  <dcterms:modified xsi:type="dcterms:W3CDTF">2026-07-10T13:18:40Z</dcterms:modified>
</cp:coreProperties>
</file>